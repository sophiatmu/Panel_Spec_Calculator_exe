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4.xml" ContentType="application/vnd.openxmlformats-officedocument.drawing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5.xml" ContentType="application/vnd.openxmlformats-officedocument.drawing+xml"/>
  <Override PartName="/xl/charts/chart3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6.xml" ContentType="application/vnd.openxmlformats-officedocument.drawing+xml"/>
  <Override PartName="/xl/charts/chart38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9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uyun\py_2024_panel_spec\"/>
    </mc:Choice>
  </mc:AlternateContent>
  <xr:revisionPtr revIDLastSave="0" documentId="13_ncr:1_{83E04BDC-5C22-4E9D-8810-B0B48D9FE224}" xr6:coauthVersionLast="47" xr6:coauthVersionMax="47" xr10:uidLastSave="{00000000-0000-0000-0000-000000000000}"/>
  <bookViews>
    <workbookView xWindow="10080" yWindow="1485" windowWidth="18270" windowHeight="13635" tabRatio="727" activeTab="5" xr2:uid="{00000000-000D-0000-FFFF-FFFF00000000}"/>
  </bookViews>
  <sheets>
    <sheet name="HaHa" sheetId="3" r:id="rId1"/>
    <sheet name="ColorSpace" sheetId="13" r:id="rId2"/>
    <sheet name="Grayscale" sheetId="15" r:id="rId3"/>
    <sheet name="OpticalData" sheetId="8" r:id="rId4"/>
    <sheet name="Gamma" sheetId="14" r:id="rId5"/>
    <sheet name="RSpectrum" sheetId="9" r:id="rId6"/>
    <sheet name="GSpectrum" sheetId="10" r:id="rId7"/>
    <sheet name="BSpectrum" sheetId="11" r:id="rId8"/>
    <sheet name="Menu" sheetId="7" r:id="rId9"/>
    <sheet name="CFData" sheetId="16" r:id="rId10"/>
    <sheet name="CIE1931" sheetId="4" r:id="rId11"/>
  </sheet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8" i="14" l="1"/>
  <c r="F18" i="14"/>
  <c r="E18" i="14"/>
  <c r="D18" i="14"/>
  <c r="C18" i="14"/>
  <c r="B18" i="14"/>
  <c r="G17" i="14"/>
  <c r="F17" i="14"/>
  <c r="E17" i="14"/>
  <c r="D17" i="14"/>
  <c r="C17" i="14"/>
  <c r="B17" i="14"/>
  <c r="G16" i="14"/>
  <c r="F16" i="14"/>
  <c r="E16" i="14"/>
  <c r="D16" i="14"/>
  <c r="C16" i="14"/>
  <c r="B16" i="14"/>
  <c r="G15" i="14"/>
  <c r="F15" i="14"/>
  <c r="E15" i="14"/>
  <c r="D15" i="14"/>
  <c r="C15" i="14"/>
  <c r="B15" i="14"/>
  <c r="G14" i="14"/>
  <c r="F14" i="14"/>
  <c r="E14" i="14"/>
  <c r="D14" i="14"/>
  <c r="C14" i="14"/>
  <c r="B14" i="14"/>
  <c r="G13" i="14"/>
  <c r="F13" i="14"/>
  <c r="E13" i="14"/>
  <c r="D13" i="14"/>
  <c r="C13" i="14"/>
  <c r="B13" i="14"/>
  <c r="G12" i="14"/>
  <c r="F12" i="14"/>
  <c r="E12" i="14"/>
  <c r="D12" i="14"/>
  <c r="C12" i="14"/>
  <c r="B12" i="14"/>
  <c r="G11" i="14"/>
  <c r="F11" i="14"/>
  <c r="E11" i="14"/>
  <c r="D11" i="14"/>
  <c r="C11" i="14"/>
  <c r="B11" i="14"/>
  <c r="G10" i="14"/>
  <c r="F10" i="14"/>
  <c r="E10" i="14"/>
  <c r="D10" i="14"/>
  <c r="C10" i="14"/>
  <c r="B10" i="14"/>
  <c r="G9" i="14"/>
  <c r="F9" i="14"/>
  <c r="E9" i="14"/>
  <c r="D9" i="14"/>
  <c r="C9" i="14"/>
  <c r="B9" i="14"/>
  <c r="G8" i="14"/>
  <c r="F8" i="14"/>
  <c r="E8" i="14"/>
  <c r="D8" i="14"/>
  <c r="C8" i="14"/>
  <c r="B8" i="14"/>
  <c r="G7" i="14"/>
  <c r="F7" i="14"/>
  <c r="E7" i="14"/>
  <c r="D7" i="14"/>
  <c r="C7" i="14"/>
  <c r="B7" i="14"/>
  <c r="G6" i="14"/>
  <c r="F6" i="14"/>
  <c r="E6" i="14"/>
  <c r="D6" i="14"/>
  <c r="C6" i="14"/>
  <c r="B6" i="14"/>
  <c r="G5" i="14"/>
  <c r="F5" i="14"/>
  <c r="E5" i="14"/>
  <c r="D5" i="14"/>
  <c r="C5" i="14"/>
  <c r="B5" i="14"/>
  <c r="G4" i="14"/>
  <c r="F4" i="14"/>
  <c r="E4" i="14"/>
  <c r="D4" i="14"/>
  <c r="C4" i="14"/>
  <c r="B4" i="14"/>
  <c r="G3" i="14"/>
  <c r="F3" i="14"/>
  <c r="E3" i="14"/>
  <c r="D3" i="14"/>
  <c r="C3" i="14"/>
  <c r="B3" i="14"/>
  <c r="H8" i="13" l="1"/>
  <c r="G8" i="13"/>
  <c r="H7" i="13"/>
  <c r="G7" i="13"/>
  <c r="H6" i="13"/>
  <c r="G6" i="13"/>
  <c r="H5" i="13"/>
  <c r="G5" i="13"/>
  <c r="H4" i="13"/>
  <c r="H3" i="13"/>
  <c r="G4" i="13"/>
  <c r="G3" i="13"/>
  <c r="B26" i="13" l="1"/>
  <c r="C32" i="13"/>
  <c r="B32" i="13"/>
  <c r="C31" i="13"/>
  <c r="B31" i="13"/>
  <c r="C30" i="13"/>
  <c r="B30" i="13"/>
  <c r="C24" i="13"/>
  <c r="B24" i="13"/>
  <c r="C23" i="13"/>
  <c r="B23" i="13"/>
  <c r="C22" i="13"/>
  <c r="B22" i="13"/>
  <c r="C16" i="13"/>
  <c r="B16" i="13"/>
  <c r="C15" i="13"/>
  <c r="B15" i="13"/>
  <c r="C14" i="13"/>
  <c r="B14" i="13"/>
  <c r="C8" i="13"/>
  <c r="B8" i="13"/>
  <c r="C7" i="13"/>
  <c r="B7" i="13"/>
  <c r="C6" i="13"/>
  <c r="B8" i="3" l="1"/>
  <c r="B7" i="3"/>
  <c r="B6" i="3"/>
</calcChain>
</file>

<file path=xl/sharedStrings.xml><?xml version="1.0" encoding="utf-8"?>
<sst xmlns="http://schemas.openxmlformats.org/spreadsheetml/2006/main" count="167" uniqueCount="111">
  <si>
    <t>R</t>
  </si>
  <si>
    <t>G</t>
  </si>
  <si>
    <t>Pixel Size (um)</t>
    <phoneticPr fontId="3" type="noConversion"/>
  </si>
  <si>
    <t>B</t>
  </si>
  <si>
    <t>V Resolution</t>
    <phoneticPr fontId="3" type="noConversion"/>
  </si>
  <si>
    <t>H Resolution</t>
    <phoneticPr fontId="3" type="noConversion"/>
  </si>
  <si>
    <t>Current per LED
(uA)</t>
    <phoneticPr fontId="3" type="noConversion"/>
  </si>
  <si>
    <t>Yield
(cd/A)</t>
    <phoneticPr fontId="3" type="noConversion"/>
  </si>
  <si>
    <t>R</t>
    <phoneticPr fontId="3" type="noConversion"/>
  </si>
  <si>
    <t>B</t>
    <phoneticPr fontId="3" type="noConversion"/>
  </si>
  <si>
    <t>Ratio</t>
    <phoneticPr fontId="3" type="noConversion"/>
  </si>
  <si>
    <t>x bar</t>
    <phoneticPr fontId="3" type="noConversion"/>
  </si>
  <si>
    <t>z bar</t>
    <phoneticPr fontId="3" type="noConversion"/>
  </si>
  <si>
    <t>Model</t>
    <phoneticPr fontId="3" type="noConversion"/>
  </si>
  <si>
    <t>G</t>
    <phoneticPr fontId="3" type="noConversion"/>
  </si>
  <si>
    <t>Yield (cd/A)</t>
    <phoneticPr fontId="3" type="noConversion"/>
  </si>
  <si>
    <t>Panel current (A)</t>
    <phoneticPr fontId="3" type="noConversion"/>
  </si>
  <si>
    <t>y bar</t>
    <phoneticPr fontId="3" type="noConversion"/>
  </si>
  <si>
    <t>Current per LED
(uA)</t>
    <phoneticPr fontId="3" type="noConversion"/>
  </si>
  <si>
    <t>Yield
(cd/A)</t>
    <phoneticPr fontId="3" type="noConversion"/>
  </si>
  <si>
    <t xml:space="preserve">Panel Brightness (cd/m^2) </t>
    <phoneticPr fontId="3" type="noConversion"/>
  </si>
  <si>
    <t>Single LED current (uA)</t>
    <phoneticPr fontId="3" type="noConversion"/>
  </si>
  <si>
    <t>Single</t>
    <phoneticPr fontId="3" type="noConversion"/>
  </si>
  <si>
    <t>Parallel</t>
    <phoneticPr fontId="3" type="noConversion"/>
  </si>
  <si>
    <t>PPI</t>
    <phoneticPr fontId="3" type="noConversion"/>
  </si>
  <si>
    <t>Aspect Ratio</t>
    <phoneticPr fontId="3" type="noConversion"/>
  </si>
  <si>
    <t>Panel Shape</t>
    <phoneticPr fontId="3" type="noConversion"/>
  </si>
  <si>
    <t>LED Number per Pixel</t>
    <phoneticPr fontId="3" type="noConversion"/>
  </si>
  <si>
    <t>Rectangle</t>
    <phoneticPr fontId="3" type="noConversion"/>
  </si>
  <si>
    <t>Circle</t>
    <phoneticPr fontId="3" type="noConversion"/>
  </si>
  <si>
    <t>Series</t>
    <phoneticPr fontId="3" type="noConversion"/>
  </si>
  <si>
    <t>LED Spectrum Data</t>
    <phoneticPr fontId="3" type="noConversion"/>
  </si>
  <si>
    <t>White CIE</t>
    <phoneticPr fontId="3" type="noConversion"/>
  </si>
  <si>
    <t>Red LED File</t>
    <phoneticPr fontId="3" type="noConversion"/>
  </si>
  <si>
    <t>Green LED File</t>
    <phoneticPr fontId="3" type="noConversion"/>
  </si>
  <si>
    <t>Color Filter Template</t>
    <phoneticPr fontId="3" type="noConversion"/>
  </si>
  <si>
    <t>Panel Size (inch)</t>
    <phoneticPr fontId="3" type="noConversion"/>
  </si>
  <si>
    <t>Red LED Voltage (V)</t>
    <phoneticPr fontId="3" type="noConversion"/>
  </si>
  <si>
    <t>Green LED Voltage (V)</t>
    <phoneticPr fontId="3" type="noConversion"/>
  </si>
  <si>
    <t>Blue LED File</t>
    <phoneticPr fontId="3" type="noConversion"/>
  </si>
  <si>
    <t>Blue LED Voltage (V)</t>
    <phoneticPr fontId="3" type="noConversion"/>
  </si>
  <si>
    <t>Yes</t>
    <phoneticPr fontId="3" type="noConversion"/>
  </si>
  <si>
    <t>No</t>
    <phoneticPr fontId="3" type="noConversion"/>
  </si>
  <si>
    <t xml:space="preserve"> Max LED Current</t>
    <phoneticPr fontId="3" type="noConversion"/>
  </si>
  <si>
    <t>Max LED Yield</t>
    <phoneticPr fontId="3" type="noConversion"/>
  </si>
  <si>
    <t xml:space="preserve">NTSC </t>
    <phoneticPr fontId="15" type="noConversion"/>
  </si>
  <si>
    <t>x</t>
    <phoneticPr fontId="15" type="noConversion"/>
  </si>
  <si>
    <t>y</t>
    <phoneticPr fontId="15" type="noConversion"/>
  </si>
  <si>
    <t>DCI P3</t>
    <phoneticPr fontId="15" type="noConversion"/>
  </si>
  <si>
    <t>x</t>
    <phoneticPr fontId="15" type="noConversion"/>
  </si>
  <si>
    <t>Rec.2020</t>
    <phoneticPr fontId="15" type="noConversion"/>
  </si>
  <si>
    <t>CPL Transparency (%)</t>
    <phoneticPr fontId="3" type="noConversion"/>
  </si>
  <si>
    <t>Efficiency after OC (%)</t>
    <phoneticPr fontId="3" type="noConversion"/>
  </si>
  <si>
    <t>Yes</t>
  </si>
  <si>
    <t>Voltage(V)</t>
    <phoneticPr fontId="3" type="noConversion"/>
  </si>
  <si>
    <t>Voltage(V)</t>
    <phoneticPr fontId="3" type="noConversion"/>
  </si>
  <si>
    <t>X098</t>
    <phoneticPr fontId="3" type="noConversion"/>
  </si>
  <si>
    <t>R Shared</t>
    <phoneticPr fontId="3" type="noConversion"/>
  </si>
  <si>
    <t>G Shared</t>
    <phoneticPr fontId="3" type="noConversion"/>
  </si>
  <si>
    <t>B Shared</t>
    <phoneticPr fontId="3" type="noConversion"/>
  </si>
  <si>
    <t>N/A</t>
    <phoneticPr fontId="3" type="noConversion"/>
  </si>
  <si>
    <t>R&amp;G Shared</t>
    <phoneticPr fontId="3" type="noConversion"/>
  </si>
  <si>
    <t>G&amp;B Shared</t>
    <phoneticPr fontId="3" type="noConversion"/>
  </si>
  <si>
    <t>R&amp;B Shared</t>
    <phoneticPr fontId="3" type="noConversion"/>
  </si>
  <si>
    <t>Single DRTFT Current (uA)</t>
    <phoneticPr fontId="3" type="noConversion"/>
  </si>
  <si>
    <t>Lighting Duty (%)</t>
    <phoneticPr fontId="3" type="noConversion"/>
  </si>
  <si>
    <t>Auto Lighting Duty (%)</t>
    <phoneticPr fontId="3" type="noConversion"/>
  </si>
  <si>
    <t>γ=1.6</t>
    <phoneticPr fontId="3" type="noConversion"/>
  </si>
  <si>
    <t>γ=1.8</t>
    <phoneticPr fontId="3" type="noConversion"/>
  </si>
  <si>
    <t>γ=2.0</t>
    <phoneticPr fontId="3" type="noConversion"/>
  </si>
  <si>
    <t>γ=2.2</t>
    <phoneticPr fontId="3" type="noConversion"/>
  </si>
  <si>
    <t>γ=2.4</t>
    <phoneticPr fontId="3" type="noConversion"/>
  </si>
  <si>
    <t>γ=2.6</t>
    <phoneticPr fontId="3" type="noConversion"/>
  </si>
  <si>
    <t>γ</t>
    <phoneticPr fontId="3" type="noConversion"/>
  </si>
  <si>
    <t>β</t>
    <phoneticPr fontId="3" type="noConversion"/>
  </si>
  <si>
    <t>x</t>
    <phoneticPr fontId="3" type="noConversion"/>
  </si>
  <si>
    <t>y</t>
    <phoneticPr fontId="3" type="noConversion"/>
  </si>
  <si>
    <t>x</t>
    <phoneticPr fontId="3" type="noConversion"/>
  </si>
  <si>
    <r>
      <t>Nits (cd/m</t>
    </r>
    <r>
      <rPr>
        <b/>
        <vertAlign val="superscript"/>
        <sz val="12"/>
        <color theme="1"/>
        <rFont val="Arial"/>
        <family val="2"/>
      </rPr>
      <t>2</t>
    </r>
    <r>
      <rPr>
        <b/>
        <sz val="12"/>
        <color theme="1"/>
        <rFont val="Arial"/>
        <family val="2"/>
      </rPr>
      <t>)</t>
    </r>
    <phoneticPr fontId="3" type="noConversion"/>
  </si>
  <si>
    <t>Red</t>
    <phoneticPr fontId="3" type="noConversion"/>
  </si>
  <si>
    <t>Green</t>
    <phoneticPr fontId="3" type="noConversion"/>
  </si>
  <si>
    <t>Blue</t>
    <phoneticPr fontId="3" type="noConversion"/>
  </si>
  <si>
    <t>Grayscale</t>
    <phoneticPr fontId="3" type="noConversion"/>
  </si>
  <si>
    <t>Yield</t>
  </si>
  <si>
    <t>CIE_x</t>
    <phoneticPr fontId="3" type="noConversion"/>
  </si>
  <si>
    <t>CIE_y</t>
    <phoneticPr fontId="3" type="noConversion"/>
  </si>
  <si>
    <t>CIE_x</t>
    <phoneticPr fontId="3" type="noConversion"/>
  </si>
  <si>
    <t>Up</t>
    <phoneticPr fontId="3" type="noConversion"/>
  </si>
  <si>
    <t>Down</t>
    <phoneticPr fontId="3" type="noConversion"/>
  </si>
  <si>
    <t>Current</t>
    <phoneticPr fontId="3" type="noConversion"/>
  </si>
  <si>
    <t>PN_1328_R_Optical.xlsx</t>
    <phoneticPr fontId="3" type="noConversion"/>
  </si>
  <si>
    <t>PN_1328_G_Optical.xlsx</t>
    <phoneticPr fontId="3" type="noConversion"/>
  </si>
  <si>
    <t>PN_1328_B_Optical.xlsx</t>
    <phoneticPr fontId="3" type="noConversion"/>
  </si>
  <si>
    <t>x</t>
    <phoneticPr fontId="3" type="noConversion"/>
  </si>
  <si>
    <t>y</t>
    <phoneticPr fontId="3" type="noConversion"/>
  </si>
  <si>
    <t>R</t>
    <phoneticPr fontId="3" type="noConversion"/>
  </si>
  <si>
    <t>G</t>
    <phoneticPr fontId="3" type="noConversion"/>
  </si>
  <si>
    <t>B</t>
    <phoneticPr fontId="3" type="noConversion"/>
  </si>
  <si>
    <t>Voltage</t>
    <phoneticPr fontId="3" type="noConversion"/>
  </si>
  <si>
    <t>RD-Line</t>
    <phoneticPr fontId="3" type="noConversion"/>
  </si>
  <si>
    <t>C4A</t>
    <phoneticPr fontId="3" type="noConversion"/>
  </si>
  <si>
    <t>G</t>
    <phoneticPr fontId="3" type="noConversion"/>
  </si>
  <si>
    <t>Defult C4A Spectrum</t>
    <phoneticPr fontId="3" type="noConversion"/>
  </si>
  <si>
    <t>Defult RD line Spectrum</t>
    <phoneticPr fontId="3" type="noConversion"/>
  </si>
  <si>
    <t>Grayscale of Auto EM Duty</t>
    <phoneticPr fontId="3" type="noConversion"/>
  </si>
  <si>
    <t>LED Voltage</t>
    <phoneticPr fontId="3" type="noConversion"/>
  </si>
  <si>
    <t>EM Duty</t>
    <phoneticPr fontId="3" type="noConversion"/>
  </si>
  <si>
    <t>Auto Lighting Duty (%)</t>
  </si>
  <si>
    <t>old-RD</t>
    <phoneticPr fontId="3" type="noConversion"/>
  </si>
  <si>
    <t>Test_RD-Line</t>
  </si>
  <si>
    <t>Test_RD-Line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</si>
</sst>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 "/>
    <numFmt numFmtId="177" formatCode="0.0%"/>
    <numFmt numFmtId="178" formatCode="0.0000"/>
    <numFmt numFmtId="179" formatCode="0.000"/>
    <numFmt numFmtId="180" formatCode="0.0000_ "/>
    <numFmt numFmtId="181" formatCode="0.0"/>
  </numFmts>
  <fonts count="26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Arial"/>
      <family val="2"/>
    </font>
    <font>
      <sz val="9"/>
      <name val="新細明體"/>
      <family val="2"/>
      <charset val="136"/>
      <scheme val="minor"/>
    </font>
    <font>
      <b/>
      <sz val="12"/>
      <color theme="1"/>
      <name val="Arial"/>
      <family val="2"/>
    </font>
    <font>
      <sz val="12"/>
      <color rgb="FF0070C0"/>
      <name val="Arial"/>
      <family val="2"/>
    </font>
    <font>
      <sz val="12"/>
      <color rgb="FF00B050"/>
      <name val="Arial"/>
      <family val="2"/>
    </font>
    <font>
      <b/>
      <sz val="12"/>
      <color theme="1"/>
      <name val="新細明體"/>
      <family val="1"/>
      <charset val="136"/>
      <scheme val="minor"/>
    </font>
    <font>
      <sz val="12"/>
      <color rgb="FFFF0000"/>
      <name val="Arial"/>
      <family val="2"/>
    </font>
    <font>
      <b/>
      <sz val="12"/>
      <color rgb="FFFF0000"/>
      <name val="Arial"/>
      <family val="2"/>
    </font>
    <font>
      <b/>
      <sz val="12"/>
      <color rgb="FF0070C0"/>
      <name val="Arial"/>
      <family val="2"/>
    </font>
    <font>
      <b/>
      <sz val="12"/>
      <color rgb="FF00B050"/>
      <name val="Arial"/>
      <family val="2"/>
    </font>
    <font>
      <sz val="12"/>
      <color rgb="FF000000"/>
      <name val="新細明體"/>
      <family val="1"/>
      <charset val="136"/>
    </font>
    <font>
      <b/>
      <vertAlign val="superscript"/>
      <sz val="12"/>
      <color theme="1"/>
      <name val="Arial"/>
      <family val="2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0"/>
      <name val="ＭＳ 明朝"/>
      <family val="3"/>
    </font>
    <font>
      <b/>
      <sz val="12"/>
      <color theme="1"/>
      <name val="微軟正黑體"/>
      <family val="2"/>
      <charset val="136"/>
    </font>
    <font>
      <b/>
      <sz val="12"/>
      <color rgb="FFFF0000"/>
      <name val="新細明體"/>
      <family val="1"/>
      <charset val="136"/>
      <scheme val="minor"/>
    </font>
    <font>
      <b/>
      <sz val="12"/>
      <color rgb="FF00B050"/>
      <name val="新細明體"/>
      <family val="1"/>
      <charset val="136"/>
      <scheme val="minor"/>
    </font>
    <font>
      <b/>
      <sz val="12"/>
      <color rgb="FF0070C0"/>
      <name val="新細明體"/>
      <family val="1"/>
      <charset val="136"/>
      <scheme val="minor"/>
    </font>
    <font>
      <b/>
      <sz val="12"/>
      <color rgb="FF7030A0"/>
      <name val="新細明體"/>
      <family val="1"/>
      <charset val="136"/>
      <scheme val="minor"/>
    </font>
    <font>
      <b/>
      <sz val="9"/>
      <name val="Arial"/>
      <family val="2"/>
    </font>
    <font>
      <sz val="9"/>
      <name val="Arial"/>
      <family val="2"/>
    </font>
    <font>
      <sz val="9"/>
      <color theme="1"/>
      <name val="新細明體"/>
      <family val="2"/>
      <charset val="136"/>
      <scheme val="minor"/>
    </font>
    <font>
      <sz val="12"/>
      <color theme="1"/>
      <name val="Arial Unicode MS"/>
      <family val="2"/>
      <charset val="136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4" fillId="0" borderId="0"/>
    <xf numFmtId="0" fontId="16" fillId="0" borderId="0"/>
    <xf numFmtId="9" fontId="1" fillId="0" borderId="0" applyFont="0" applyFill="0" applyBorder="0" applyAlignment="0" applyProtection="0">
      <alignment vertical="center"/>
    </xf>
  </cellStyleXfs>
  <cellXfs count="14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2" fontId="2" fillId="3" borderId="19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2" fontId="6" fillId="0" borderId="9" xfId="0" applyNumberFormat="1" applyFont="1" applyBorder="1" applyAlignment="1">
      <alignment horizontal="center" vertical="center"/>
    </xf>
    <xf numFmtId="2" fontId="6" fillId="0" borderId="13" xfId="0" applyNumberFormat="1" applyFont="1" applyBorder="1" applyAlignment="1">
      <alignment horizontal="center" vertical="center"/>
    </xf>
    <xf numFmtId="2" fontId="5" fillId="0" borderId="10" xfId="0" applyNumberFormat="1" applyFont="1" applyBorder="1" applyAlignment="1">
      <alignment horizontal="center" vertical="center"/>
    </xf>
    <xf numFmtId="2" fontId="5" fillId="0" borderId="4" xfId="0" applyNumberFormat="1" applyFont="1" applyBorder="1" applyAlignment="1">
      <alignment horizontal="center" vertical="center"/>
    </xf>
    <xf numFmtId="0" fontId="8" fillId="3" borderId="4" xfId="0" applyFont="1" applyFill="1" applyBorder="1" applyAlignment="1">
      <alignment horizontal="left" vertical="center"/>
    </xf>
    <xf numFmtId="0" fontId="6" fillId="3" borderId="4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left" vertical="center"/>
    </xf>
    <xf numFmtId="2" fontId="2" fillId="3" borderId="21" xfId="0" applyNumberFormat="1" applyFont="1" applyFill="1" applyBorder="1" applyAlignment="1">
      <alignment horizontal="center" vertical="center"/>
    </xf>
    <xf numFmtId="10" fontId="6" fillId="2" borderId="13" xfId="0" applyNumberFormat="1" applyFont="1" applyFill="1" applyBorder="1" applyAlignment="1">
      <alignment horizontal="center" vertical="center"/>
    </xf>
    <xf numFmtId="10" fontId="5" fillId="2" borderId="4" xfId="0" applyNumberFormat="1" applyFont="1" applyFill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0" fontId="8" fillId="2" borderId="17" xfId="0" applyNumberFormat="1" applyFont="1" applyFill="1" applyBorder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2" fontId="18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2" fontId="20" fillId="0" borderId="0" xfId="0" applyNumberFormat="1" applyFont="1" applyAlignment="1">
      <alignment horizontal="center" vertical="center"/>
    </xf>
    <xf numFmtId="176" fontId="18" fillId="0" borderId="0" xfId="0" applyNumberFormat="1" applyFont="1" applyAlignment="1">
      <alignment horizontal="center" vertical="center"/>
    </xf>
    <xf numFmtId="176" fontId="19" fillId="0" borderId="0" xfId="0" applyNumberFormat="1" applyFont="1" applyAlignment="1">
      <alignment horizontal="center" vertical="center"/>
    </xf>
    <xf numFmtId="176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2" fontId="21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80" fontId="5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22" fillId="0" borderId="0" xfId="2" applyFont="1" applyAlignment="1">
      <alignment horizontal="center"/>
    </xf>
    <xf numFmtId="0" fontId="23" fillId="4" borderId="13" xfId="3" applyFont="1" applyFill="1" applyBorder="1" applyAlignment="1">
      <alignment horizontal="center"/>
    </xf>
    <xf numFmtId="0" fontId="23" fillId="0" borderId="0" xfId="2" applyFont="1" applyAlignment="1">
      <alignment vertical="center"/>
    </xf>
    <xf numFmtId="0" fontId="23" fillId="0" borderId="0" xfId="2" applyFont="1" applyAlignment="1">
      <alignment horizontal="center"/>
    </xf>
    <xf numFmtId="178" fontId="23" fillId="4" borderId="13" xfId="2" applyNumberFormat="1" applyFont="1" applyFill="1" applyBorder="1" applyAlignment="1">
      <alignment horizontal="center"/>
    </xf>
    <xf numFmtId="0" fontId="23" fillId="0" borderId="0" xfId="2" applyFont="1" applyAlignment="1">
      <alignment horizontal="center" vertical="center"/>
    </xf>
    <xf numFmtId="0" fontId="24" fillId="0" borderId="0" xfId="0" applyFont="1">
      <alignment vertical="center"/>
    </xf>
    <xf numFmtId="1" fontId="0" fillId="0" borderId="0" xfId="0" applyNumberFormat="1" applyAlignment="1">
      <alignment horizontal="center" vertical="center"/>
    </xf>
    <xf numFmtId="0" fontId="8" fillId="0" borderId="0" xfId="0" applyFont="1">
      <alignment vertical="center"/>
    </xf>
    <xf numFmtId="0" fontId="6" fillId="0" borderId="0" xfId="0" applyFont="1">
      <alignment vertical="center"/>
    </xf>
    <xf numFmtId="0" fontId="5" fillId="0" borderId="0" xfId="0" applyFont="1">
      <alignment vertical="center"/>
    </xf>
    <xf numFmtId="179" fontId="8" fillId="0" borderId="0" xfId="0" applyNumberFormat="1" applyFont="1">
      <alignment vertical="center"/>
    </xf>
    <xf numFmtId="179" fontId="6" fillId="0" borderId="0" xfId="0" applyNumberFormat="1" applyFont="1">
      <alignment vertical="center"/>
    </xf>
    <xf numFmtId="179" fontId="5" fillId="0" borderId="0" xfId="0" applyNumberFormat="1" applyFont="1">
      <alignment vertical="center"/>
    </xf>
    <xf numFmtId="180" fontId="23" fillId="0" borderId="0" xfId="2" applyNumberFormat="1" applyFont="1" applyAlignment="1">
      <alignment horizontal="center" vertical="center"/>
    </xf>
    <xf numFmtId="0" fontId="25" fillId="0" borderId="29" xfId="0" applyFont="1" applyBorder="1">
      <alignment vertical="center"/>
    </xf>
    <xf numFmtId="0" fontId="25" fillId="0" borderId="0" xfId="0" applyFont="1">
      <alignment vertical="center"/>
    </xf>
    <xf numFmtId="0" fontId="25" fillId="0" borderId="30" xfId="0" applyFont="1" applyBorder="1">
      <alignment vertical="center"/>
    </xf>
    <xf numFmtId="0" fontId="25" fillId="6" borderId="29" xfId="0" applyFont="1" applyFill="1" applyBorder="1">
      <alignment vertical="center"/>
    </xf>
    <xf numFmtId="0" fontId="25" fillId="7" borderId="0" xfId="0" applyFont="1" applyFill="1">
      <alignment vertical="center"/>
    </xf>
    <xf numFmtId="0" fontId="25" fillId="8" borderId="0" xfId="0" applyFont="1" applyFill="1">
      <alignment vertical="center"/>
    </xf>
    <xf numFmtId="0" fontId="25" fillId="3" borderId="31" xfId="0" applyFont="1" applyFill="1" applyBorder="1">
      <alignment vertical="center"/>
    </xf>
    <xf numFmtId="0" fontId="25" fillId="3" borderId="32" xfId="0" applyFont="1" applyFill="1" applyBorder="1">
      <alignment vertical="center"/>
    </xf>
    <xf numFmtId="0" fontId="25" fillId="3" borderId="33" xfId="0" applyFont="1" applyFill="1" applyBorder="1">
      <alignment vertical="center"/>
    </xf>
    <xf numFmtId="0" fontId="4" fillId="2" borderId="34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2" fillId="9" borderId="19" xfId="0" applyFont="1" applyFill="1" applyBorder="1" applyAlignment="1">
      <alignment horizontal="center" vertical="center"/>
    </xf>
    <xf numFmtId="2" fontId="8" fillId="0" borderId="37" xfId="0" applyNumberFormat="1" applyFont="1" applyBorder="1" applyAlignment="1">
      <alignment horizontal="center" vertical="center"/>
    </xf>
    <xf numFmtId="2" fontId="8" fillId="0" borderId="3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2" fillId="9" borderId="20" xfId="0" applyFont="1" applyFill="1" applyBorder="1" applyAlignment="1">
      <alignment horizontal="center" vertical="center"/>
    </xf>
    <xf numFmtId="0" fontId="2" fillId="9" borderId="17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177" fontId="8" fillId="11" borderId="17" xfId="0" applyNumberFormat="1" applyFont="1" applyFill="1" applyBorder="1" applyAlignment="1">
      <alignment horizontal="center" vertical="center"/>
    </xf>
    <xf numFmtId="177" fontId="6" fillId="11" borderId="13" xfId="0" applyNumberFormat="1" applyFont="1" applyFill="1" applyBorder="1" applyAlignment="1">
      <alignment horizontal="center" vertical="center"/>
    </xf>
    <xf numFmtId="177" fontId="5" fillId="11" borderId="4" xfId="0" applyNumberFormat="1" applyFont="1" applyFill="1" applyBorder="1" applyAlignment="1">
      <alignment horizontal="center" vertical="center"/>
    </xf>
    <xf numFmtId="0" fontId="2" fillId="11" borderId="28" xfId="0" applyFont="1" applyFill="1" applyBorder="1" applyAlignment="1">
      <alignment horizontal="center" vertical="center"/>
    </xf>
    <xf numFmtId="177" fontId="8" fillId="9" borderId="17" xfId="0" applyNumberFormat="1" applyFont="1" applyFill="1" applyBorder="1" applyAlignment="1">
      <alignment horizontal="center" vertical="center"/>
    </xf>
    <xf numFmtId="177" fontId="6" fillId="9" borderId="13" xfId="0" applyNumberFormat="1" applyFont="1" applyFill="1" applyBorder="1" applyAlignment="1">
      <alignment horizontal="center" vertical="center"/>
    </xf>
    <xf numFmtId="177" fontId="5" fillId="9" borderId="4" xfId="0" applyNumberFormat="1" applyFont="1" applyFill="1" applyBorder="1" applyAlignment="1">
      <alignment horizontal="center" vertical="center"/>
    </xf>
    <xf numFmtId="0" fontId="8" fillId="9" borderId="17" xfId="0" applyFont="1" applyFill="1" applyBorder="1" applyAlignment="1">
      <alignment horizontal="center" vertical="center"/>
    </xf>
    <xf numFmtId="0" fontId="6" fillId="9" borderId="13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2" fontId="0" fillId="0" borderId="0" xfId="0" applyNumberFormat="1">
      <alignment vertical="center"/>
    </xf>
    <xf numFmtId="10" fontId="8" fillId="9" borderId="38" xfId="4" applyNumberFormat="1" applyFont="1" applyFill="1" applyBorder="1" applyAlignment="1">
      <alignment horizontal="center" vertical="center"/>
    </xf>
    <xf numFmtId="10" fontId="6" fillId="9" borderId="12" xfId="4" applyNumberFormat="1" applyFont="1" applyFill="1" applyBorder="1" applyAlignment="1">
      <alignment horizontal="center" vertical="center"/>
    </xf>
    <xf numFmtId="10" fontId="5" fillId="9" borderId="7" xfId="4" applyNumberFormat="1" applyFont="1" applyFill="1" applyBorder="1" applyAlignment="1">
      <alignment horizontal="center" vertical="center"/>
    </xf>
    <xf numFmtId="0" fontId="2" fillId="11" borderId="35" xfId="0" applyFont="1" applyFill="1" applyBorder="1" applyAlignment="1">
      <alignment horizontal="center" vertical="center"/>
    </xf>
    <xf numFmtId="0" fontId="2" fillId="11" borderId="36" xfId="0" applyFont="1" applyFill="1" applyBorder="1" applyAlignment="1">
      <alignment horizontal="center" vertical="center"/>
    </xf>
    <xf numFmtId="178" fontId="2" fillId="0" borderId="3" xfId="0" applyNumberFormat="1" applyFont="1" applyBorder="1" applyAlignment="1">
      <alignment horizontal="center" vertical="center"/>
    </xf>
    <xf numFmtId="178" fontId="2" fillId="0" borderId="13" xfId="0" applyNumberFormat="1" applyFont="1" applyBorder="1" applyAlignment="1">
      <alignment horizontal="center" vertical="center"/>
    </xf>
    <xf numFmtId="178" fontId="2" fillId="0" borderId="4" xfId="0" applyNumberFormat="1" applyFont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9" fontId="2" fillId="9" borderId="17" xfId="0" applyNumberFormat="1" applyFont="1" applyFill="1" applyBorder="1" applyAlignment="1">
      <alignment horizontal="center" vertical="center"/>
    </xf>
    <xf numFmtId="9" fontId="2" fillId="9" borderId="13" xfId="0" applyNumberFormat="1" applyFont="1" applyFill="1" applyBorder="1" applyAlignment="1">
      <alignment horizontal="center" vertical="center"/>
    </xf>
    <xf numFmtId="9" fontId="2" fillId="9" borderId="4" xfId="0" applyNumberFormat="1" applyFont="1" applyFill="1" applyBorder="1" applyAlignment="1">
      <alignment horizontal="center" vertical="center"/>
    </xf>
    <xf numFmtId="0" fontId="2" fillId="9" borderId="8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9" borderId="10" xfId="0" applyFont="1" applyFill="1" applyBorder="1" applyAlignment="1">
      <alignment horizontal="center" vertical="center"/>
    </xf>
    <xf numFmtId="0" fontId="2" fillId="11" borderId="14" xfId="0" applyFont="1" applyFill="1" applyBorder="1" applyAlignment="1">
      <alignment horizontal="center" vertical="center"/>
    </xf>
    <xf numFmtId="0" fontId="2" fillId="11" borderId="15" xfId="0" applyFont="1" applyFill="1" applyBorder="1" applyAlignment="1">
      <alignment horizontal="center" vertical="center"/>
    </xf>
    <xf numFmtId="0" fontId="2" fillId="11" borderId="11" xfId="0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/>
    </xf>
    <xf numFmtId="0" fontId="2" fillId="11" borderId="24" xfId="0" applyFont="1" applyFill="1" applyBorder="1" applyAlignment="1">
      <alignment horizontal="center" vertical="center"/>
    </xf>
    <xf numFmtId="2" fontId="8" fillId="3" borderId="2" xfId="0" applyNumberFormat="1" applyFont="1" applyFill="1" applyBorder="1" applyAlignment="1">
      <alignment horizontal="center" vertical="center"/>
    </xf>
    <xf numFmtId="2" fontId="8" fillId="3" borderId="18" xfId="0" applyNumberFormat="1" applyFont="1" applyFill="1" applyBorder="1" applyAlignment="1">
      <alignment horizontal="center" vertical="center"/>
    </xf>
    <xf numFmtId="2" fontId="6" fillId="3" borderId="2" xfId="0" applyNumberFormat="1" applyFont="1" applyFill="1" applyBorder="1" applyAlignment="1">
      <alignment horizontal="center" vertical="center"/>
    </xf>
    <xf numFmtId="2" fontId="6" fillId="3" borderId="18" xfId="0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18" xfId="0" applyNumberFormat="1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0" fontId="2" fillId="11" borderId="27" xfId="0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177" fontId="22" fillId="2" borderId="25" xfId="2" applyNumberFormat="1" applyFont="1" applyFill="1" applyBorder="1" applyAlignment="1">
      <alignment horizontal="center"/>
    </xf>
    <xf numFmtId="177" fontId="22" fillId="2" borderId="3" xfId="2" applyNumberFormat="1" applyFont="1" applyFill="1" applyBorder="1" applyAlignment="1">
      <alignment horizontal="center"/>
    </xf>
    <xf numFmtId="177" fontId="22" fillId="2" borderId="13" xfId="2" applyNumberFormat="1" applyFont="1" applyFill="1" applyBorder="1" applyAlignment="1">
      <alignment horizontal="center"/>
    </xf>
    <xf numFmtId="177" fontId="22" fillId="5" borderId="13" xfId="2" applyNumberFormat="1" applyFont="1" applyFill="1" applyBorder="1" applyAlignment="1">
      <alignment horizontal="center"/>
    </xf>
  </cellXfs>
  <cellStyles count="5">
    <cellStyle name="一般" xfId="0" builtinId="0"/>
    <cellStyle name="一般 2" xfId="1" xr:uid="{00000000-0005-0000-0000-000001000000}"/>
    <cellStyle name="一般 3" xfId="2" xr:uid="{00000000-0005-0000-0000-000002000000}"/>
    <cellStyle name="百分比" xfId="4" builtinId="5"/>
    <cellStyle name="標準_CIEXY" xfId="3" xr:uid="{00000000-0005-0000-0000-000003000000}"/>
  </cellStyles>
  <dxfs count="0"/>
  <tableStyles count="0" defaultTableStyle="TableStyleMedium9" defaultPivotStyle="PivotStyleLight16"/>
  <colors>
    <mruColors>
      <color rgb="FFFFFFFF"/>
      <color rgb="FFF0F0F0"/>
      <color rgb="FFE0E0E0"/>
      <color rgb="FFD0D0D0"/>
      <color rgb="FFC0C0C0"/>
      <color rgb="FFB0B0B0"/>
      <color rgb="FFA0A0A0"/>
      <color rgb="FF909090"/>
      <color rgb="FF808080"/>
      <color rgb="FF7070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G</a:t>
            </a:r>
            <a:endParaRPr lang="zh-TW" altLang="en-US">
              <a:solidFill>
                <a:srgbClr val="00B05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Grayscale!$A$2</c:f>
              <c:strCache>
                <c:ptCount val="1"/>
                <c:pt idx="0">
                  <c:v>16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1000"/>
              </a:solidFill>
              <a:ln w="9525">
                <a:noFill/>
              </a:ln>
              <a:effectLst/>
            </c:spPr>
          </c:marker>
          <c:xVal>
            <c:numRef>
              <c:f>Grayscale!$D$2</c:f>
              <c:numCache>
                <c:formatCode>0.000</c:formatCode>
                <c:ptCount val="1"/>
              </c:numCache>
            </c:numRef>
          </c:xVal>
          <c:yVal>
            <c:numRef>
              <c:f>Grayscale!$E$2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5E-4F93-907B-6C090025CD58}"/>
            </c:ext>
          </c:extLst>
        </c:ser>
        <c:ser>
          <c:idx val="2"/>
          <c:order val="1"/>
          <c:tx>
            <c:strRef>
              <c:f>Grayscale!$A$3</c:f>
              <c:strCache>
                <c:ptCount val="1"/>
                <c:pt idx="0">
                  <c:v>32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2000"/>
              </a:solidFill>
              <a:ln w="9525">
                <a:noFill/>
              </a:ln>
              <a:effectLst/>
            </c:spPr>
          </c:marker>
          <c:xVal>
            <c:numRef>
              <c:f>Grayscale!$D$3</c:f>
              <c:numCache>
                <c:formatCode>0.000</c:formatCode>
                <c:ptCount val="1"/>
              </c:numCache>
            </c:numRef>
          </c:xVal>
          <c:yVal>
            <c:numRef>
              <c:f>Grayscale!$E$3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5E-4F93-907B-6C090025CD58}"/>
            </c:ext>
          </c:extLst>
        </c:ser>
        <c:ser>
          <c:idx val="3"/>
          <c:order val="2"/>
          <c:tx>
            <c:strRef>
              <c:f>Grayscale!$A$4</c:f>
              <c:strCache>
                <c:ptCount val="1"/>
                <c:pt idx="0">
                  <c:v>48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3000"/>
              </a:solidFill>
              <a:ln w="9525">
                <a:noFill/>
              </a:ln>
              <a:effectLst/>
            </c:spPr>
          </c:marker>
          <c:xVal>
            <c:numRef>
              <c:f>Grayscale!$D$4</c:f>
              <c:numCache>
                <c:formatCode>0.000</c:formatCode>
                <c:ptCount val="1"/>
              </c:numCache>
            </c:numRef>
          </c:xVal>
          <c:yVal>
            <c:numRef>
              <c:f>Grayscale!$E$4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5E-4F93-907B-6C090025CD58}"/>
            </c:ext>
          </c:extLst>
        </c:ser>
        <c:ser>
          <c:idx val="4"/>
          <c:order val="3"/>
          <c:tx>
            <c:strRef>
              <c:f>Grayscale!$A$5</c:f>
              <c:strCache>
                <c:ptCount val="1"/>
                <c:pt idx="0">
                  <c:v>64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4000"/>
              </a:solidFill>
              <a:ln w="9525">
                <a:noFill/>
              </a:ln>
              <a:effectLst/>
            </c:spPr>
          </c:marker>
          <c:xVal>
            <c:numRef>
              <c:f>Grayscale!$D$5</c:f>
              <c:numCache>
                <c:formatCode>0.000</c:formatCode>
                <c:ptCount val="1"/>
              </c:numCache>
            </c:numRef>
          </c:xVal>
          <c:yVal>
            <c:numRef>
              <c:f>Grayscale!$E$5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5E-4F93-907B-6C090025CD58}"/>
            </c:ext>
          </c:extLst>
        </c:ser>
        <c:ser>
          <c:idx val="5"/>
          <c:order val="4"/>
          <c:tx>
            <c:strRef>
              <c:f>Grayscale!$A$6</c:f>
              <c:strCache>
                <c:ptCount val="1"/>
                <c:pt idx="0">
                  <c:v>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5000"/>
              </a:solidFill>
              <a:ln w="9525">
                <a:noFill/>
              </a:ln>
              <a:effectLst/>
            </c:spPr>
          </c:marker>
          <c:xVal>
            <c:numRef>
              <c:f>Grayscale!$D$6</c:f>
              <c:numCache>
                <c:formatCode>0.000</c:formatCode>
                <c:ptCount val="1"/>
              </c:numCache>
            </c:numRef>
          </c:xVal>
          <c:yVal>
            <c:numRef>
              <c:f>Grayscale!$E$6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85E-4F93-907B-6C090025CD58}"/>
            </c:ext>
          </c:extLst>
        </c:ser>
        <c:ser>
          <c:idx val="6"/>
          <c:order val="5"/>
          <c:tx>
            <c:strRef>
              <c:f>Grayscale!$A$7</c:f>
              <c:strCache>
                <c:ptCount val="1"/>
                <c:pt idx="0">
                  <c:v>96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6000"/>
              </a:solidFill>
              <a:ln w="9525">
                <a:noFill/>
              </a:ln>
              <a:effectLst/>
            </c:spPr>
          </c:marker>
          <c:xVal>
            <c:numRef>
              <c:f>Grayscale!$D$7</c:f>
              <c:numCache>
                <c:formatCode>0.000</c:formatCode>
                <c:ptCount val="1"/>
              </c:numCache>
            </c:numRef>
          </c:xVal>
          <c:yVal>
            <c:numRef>
              <c:f>Grayscale!$E$7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85E-4F93-907B-6C090025CD58}"/>
            </c:ext>
          </c:extLst>
        </c:ser>
        <c:ser>
          <c:idx val="7"/>
          <c:order val="6"/>
          <c:tx>
            <c:strRef>
              <c:f>Grayscale!$A$8</c:f>
              <c:strCache>
                <c:ptCount val="1"/>
                <c:pt idx="0">
                  <c:v>112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00"/>
              </a:solidFill>
              <a:ln w="9525">
                <a:noFill/>
              </a:ln>
              <a:effectLst/>
            </c:spPr>
          </c:marker>
          <c:xVal>
            <c:numRef>
              <c:f>Grayscale!$D$8</c:f>
              <c:numCache>
                <c:formatCode>0.000</c:formatCode>
                <c:ptCount val="1"/>
              </c:numCache>
            </c:numRef>
          </c:xVal>
          <c:yVal>
            <c:numRef>
              <c:f>Grayscale!$E$8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85E-4F93-907B-6C090025CD58}"/>
            </c:ext>
          </c:extLst>
        </c:ser>
        <c:ser>
          <c:idx val="8"/>
          <c:order val="7"/>
          <c:tx>
            <c:strRef>
              <c:f>Grayscale!$A$9</c:f>
              <c:strCache>
                <c:ptCount val="1"/>
                <c:pt idx="0">
                  <c:v>128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8000"/>
              </a:solidFill>
              <a:ln w="9525">
                <a:noFill/>
              </a:ln>
              <a:effectLst/>
            </c:spPr>
          </c:marker>
          <c:xVal>
            <c:numRef>
              <c:f>Grayscale!$D$9</c:f>
              <c:numCache>
                <c:formatCode>0.000</c:formatCode>
                <c:ptCount val="1"/>
              </c:numCache>
            </c:numRef>
          </c:xVal>
          <c:yVal>
            <c:numRef>
              <c:f>Grayscale!$E$9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85E-4F93-907B-6C090025CD58}"/>
            </c:ext>
          </c:extLst>
        </c:ser>
        <c:ser>
          <c:idx val="9"/>
          <c:order val="8"/>
          <c:tx>
            <c:strRef>
              <c:f>Grayscale!$A$10</c:f>
              <c:strCache>
                <c:ptCount val="1"/>
                <c:pt idx="0">
                  <c:v>144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9000"/>
              </a:solidFill>
              <a:ln w="9525">
                <a:noFill/>
              </a:ln>
              <a:effectLst/>
            </c:spPr>
          </c:marker>
          <c:xVal>
            <c:numRef>
              <c:f>Grayscale!$D$10</c:f>
              <c:numCache>
                <c:formatCode>0.000</c:formatCode>
                <c:ptCount val="1"/>
              </c:numCache>
            </c:numRef>
          </c:xVal>
          <c:yVal>
            <c:numRef>
              <c:f>Grayscale!$E$10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85E-4F93-907B-6C090025CD58}"/>
            </c:ext>
          </c:extLst>
        </c:ser>
        <c:ser>
          <c:idx val="10"/>
          <c:order val="9"/>
          <c:tx>
            <c:strRef>
              <c:f>Grayscale!$A$11</c:f>
              <c:strCache>
                <c:ptCount val="1"/>
                <c:pt idx="0">
                  <c:v>160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A000"/>
              </a:solidFill>
              <a:ln w="9525">
                <a:noFill/>
              </a:ln>
              <a:effectLst/>
            </c:spPr>
          </c:marker>
          <c:xVal>
            <c:numRef>
              <c:f>Grayscale!$D$11</c:f>
              <c:numCache>
                <c:formatCode>0.000</c:formatCode>
                <c:ptCount val="1"/>
              </c:numCache>
            </c:numRef>
          </c:xVal>
          <c:yVal>
            <c:numRef>
              <c:f>Grayscale!$E$11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85E-4F93-907B-6C090025CD58}"/>
            </c:ext>
          </c:extLst>
        </c:ser>
        <c:ser>
          <c:idx val="11"/>
          <c:order val="10"/>
          <c:tx>
            <c:strRef>
              <c:f>Grayscale!$A$12</c:f>
              <c:strCache>
                <c:ptCount val="1"/>
                <c:pt idx="0">
                  <c:v>176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00"/>
              </a:solidFill>
              <a:ln w="9525">
                <a:noFill/>
              </a:ln>
              <a:effectLst/>
            </c:spPr>
          </c:marker>
          <c:xVal>
            <c:numRef>
              <c:f>Grayscale!$D$12</c:f>
              <c:numCache>
                <c:formatCode>0.000</c:formatCode>
                <c:ptCount val="1"/>
              </c:numCache>
            </c:numRef>
          </c:xVal>
          <c:yVal>
            <c:numRef>
              <c:f>Grayscale!$E$12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85E-4F93-907B-6C090025CD58}"/>
            </c:ext>
          </c:extLst>
        </c:ser>
        <c:ser>
          <c:idx val="12"/>
          <c:order val="11"/>
          <c:tx>
            <c:strRef>
              <c:f>Grayscale!$A$13</c:f>
              <c:strCache>
                <c:ptCount val="1"/>
                <c:pt idx="0">
                  <c:v>192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C000"/>
              </a:solidFill>
              <a:ln w="9525">
                <a:noFill/>
              </a:ln>
              <a:effectLst/>
            </c:spPr>
          </c:marker>
          <c:xVal>
            <c:numRef>
              <c:f>Grayscale!$D$13</c:f>
              <c:numCache>
                <c:formatCode>0.000</c:formatCode>
                <c:ptCount val="1"/>
              </c:numCache>
            </c:numRef>
          </c:xVal>
          <c:yVal>
            <c:numRef>
              <c:f>Grayscale!$E$13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85E-4F93-907B-6C090025CD58}"/>
            </c:ext>
          </c:extLst>
        </c:ser>
        <c:ser>
          <c:idx val="13"/>
          <c:order val="12"/>
          <c:tx>
            <c:strRef>
              <c:f>Grayscale!$A$14</c:f>
              <c:strCache>
                <c:ptCount val="1"/>
                <c:pt idx="0">
                  <c:v>208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D000"/>
              </a:solidFill>
              <a:ln w="9525">
                <a:noFill/>
              </a:ln>
              <a:effectLst/>
            </c:spPr>
          </c:marker>
          <c:xVal>
            <c:numRef>
              <c:f>Grayscale!$D$14</c:f>
              <c:numCache>
                <c:formatCode>0.000</c:formatCode>
                <c:ptCount val="1"/>
              </c:numCache>
            </c:numRef>
          </c:xVal>
          <c:yVal>
            <c:numRef>
              <c:f>Grayscale!$E$14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85E-4F93-907B-6C090025CD58}"/>
            </c:ext>
          </c:extLst>
        </c:ser>
        <c:ser>
          <c:idx val="14"/>
          <c:order val="13"/>
          <c:tx>
            <c:strRef>
              <c:f>Grayscale!$A$15</c:f>
              <c:strCache>
                <c:ptCount val="1"/>
                <c:pt idx="0">
                  <c:v>224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E000"/>
              </a:solidFill>
              <a:ln w="9525">
                <a:noFill/>
              </a:ln>
              <a:effectLst/>
            </c:spPr>
          </c:marker>
          <c:xVal>
            <c:numRef>
              <c:f>Grayscale!$D$15</c:f>
              <c:numCache>
                <c:formatCode>0.000</c:formatCode>
                <c:ptCount val="1"/>
              </c:numCache>
            </c:numRef>
          </c:xVal>
          <c:yVal>
            <c:numRef>
              <c:f>Grayscale!$E$15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85E-4F93-907B-6C090025CD58}"/>
            </c:ext>
          </c:extLst>
        </c:ser>
        <c:ser>
          <c:idx val="15"/>
          <c:order val="14"/>
          <c:tx>
            <c:strRef>
              <c:f>Grayscale!$A$16</c:f>
              <c:strCache>
                <c:ptCount val="1"/>
                <c:pt idx="0">
                  <c:v>240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F000"/>
              </a:solidFill>
              <a:ln w="9525">
                <a:noFill/>
              </a:ln>
              <a:effectLst/>
            </c:spPr>
          </c:marker>
          <c:xVal>
            <c:numRef>
              <c:f>Grayscale!$D$16</c:f>
              <c:numCache>
                <c:formatCode>0.000</c:formatCode>
                <c:ptCount val="1"/>
              </c:numCache>
            </c:numRef>
          </c:xVal>
          <c:yVal>
            <c:numRef>
              <c:f>Grayscale!$E$16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85E-4F93-907B-6C090025CD58}"/>
            </c:ext>
          </c:extLst>
        </c:ser>
        <c:ser>
          <c:idx val="16"/>
          <c:order val="15"/>
          <c:tx>
            <c:strRef>
              <c:f>Grayscale!$A$17</c:f>
              <c:strCache>
                <c:ptCount val="1"/>
                <c:pt idx="0">
                  <c:v>256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xVal>
            <c:numRef>
              <c:f>Grayscale!$D$17</c:f>
              <c:numCache>
                <c:formatCode>0.000</c:formatCode>
                <c:ptCount val="1"/>
              </c:numCache>
            </c:numRef>
          </c:xVal>
          <c:yVal>
            <c:numRef>
              <c:f>Grayscale!$E$17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85E-4F93-907B-6C090025CD58}"/>
            </c:ext>
          </c:extLst>
        </c:ser>
        <c:ser>
          <c:idx val="0"/>
          <c:order val="16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ColorSpace!$G$5:$G$6</c:f>
              <c:numCache>
                <c:formatCode>0.0000_ </c:formatCode>
                <c:ptCount val="2"/>
                <c:pt idx="0">
                  <c:v>0.17886481444489577</c:v>
                </c:pt>
                <c:pt idx="1">
                  <c:v>0.18486481444489578</c:v>
                </c:pt>
              </c:numCache>
            </c:numRef>
          </c:xVal>
          <c:yVal>
            <c:numRef>
              <c:f>(ColorSpace!$H$5,ColorSpace!$H$5)</c:f>
              <c:numCache>
                <c:formatCode>0.0000_ </c:formatCode>
                <c:ptCount val="2"/>
                <c:pt idx="0">
                  <c:v>0.74769483771125111</c:v>
                </c:pt>
                <c:pt idx="1">
                  <c:v>0.74769483771125111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85E-4F93-907B-6C090025CD58}"/>
            </c:ext>
          </c:extLst>
        </c:ser>
        <c:ser>
          <c:idx val="17"/>
          <c:order val="17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ColorSpace!$G$5:$G$6</c:f>
              <c:numCache>
                <c:formatCode>0.0000_ </c:formatCode>
                <c:ptCount val="2"/>
                <c:pt idx="0">
                  <c:v>0.17886481444489577</c:v>
                </c:pt>
                <c:pt idx="1">
                  <c:v>0.18486481444489578</c:v>
                </c:pt>
              </c:numCache>
            </c:numRef>
          </c:xVal>
          <c:yVal>
            <c:numRef>
              <c:f>(ColorSpace!$H$6,ColorSpace!$H$6)</c:f>
              <c:numCache>
                <c:formatCode>0.0000_ </c:formatCode>
                <c:ptCount val="2"/>
                <c:pt idx="0">
                  <c:v>0.75369483771125112</c:v>
                </c:pt>
                <c:pt idx="1">
                  <c:v>0.75369483771125112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85E-4F93-907B-6C090025CD58}"/>
            </c:ext>
          </c:extLst>
        </c:ser>
        <c:ser>
          <c:idx val="18"/>
          <c:order val="18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(ColorSpace!$G$5,ColorSpace!$G$5)</c:f>
              <c:numCache>
                <c:formatCode>0.0000_ </c:formatCode>
                <c:ptCount val="2"/>
                <c:pt idx="0">
                  <c:v>0.17886481444489577</c:v>
                </c:pt>
                <c:pt idx="1">
                  <c:v>0.17886481444489577</c:v>
                </c:pt>
              </c:numCache>
            </c:numRef>
          </c:xVal>
          <c:yVal>
            <c:numRef>
              <c:f>ColorSpace!$H$5:$H$6</c:f>
              <c:numCache>
                <c:formatCode>0.0000_ </c:formatCode>
                <c:ptCount val="2"/>
                <c:pt idx="0">
                  <c:v>0.74769483771125111</c:v>
                </c:pt>
                <c:pt idx="1">
                  <c:v>0.75369483771125112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85E-4F93-907B-6C090025CD58}"/>
            </c:ext>
          </c:extLst>
        </c:ser>
        <c:ser>
          <c:idx val="19"/>
          <c:order val="19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(ColorSpace!$G$6,ColorSpace!$G$6)</c:f>
              <c:numCache>
                <c:formatCode>0.0000_ </c:formatCode>
                <c:ptCount val="2"/>
                <c:pt idx="0">
                  <c:v>0.18486481444489578</c:v>
                </c:pt>
                <c:pt idx="1">
                  <c:v>0.18486481444489578</c:v>
                </c:pt>
              </c:numCache>
            </c:numRef>
          </c:xVal>
          <c:yVal>
            <c:numRef>
              <c:f>ColorSpace!$H$5:$H$6</c:f>
              <c:numCache>
                <c:formatCode>0.0000_ </c:formatCode>
                <c:ptCount val="2"/>
                <c:pt idx="0">
                  <c:v>0.74769483771125111</c:v>
                </c:pt>
                <c:pt idx="1">
                  <c:v>0.75369483771125112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85E-4F93-907B-6C090025C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48600"/>
        <c:axId val="188443112"/>
      </c:scatterChart>
      <c:valAx>
        <c:axId val="188448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8443112"/>
        <c:crosses val="autoZero"/>
        <c:crossBetween val="midCat"/>
      </c:valAx>
      <c:valAx>
        <c:axId val="188443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8448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R</a:t>
            </a:r>
            <a:endParaRPr lang="zh-TW" alt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Grayscale!$A$2</c:f>
              <c:strCache>
                <c:ptCount val="1"/>
                <c:pt idx="0">
                  <c:v>16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100000"/>
              </a:solidFill>
              <a:ln w="9525">
                <a:noFill/>
              </a:ln>
              <a:effectLst/>
            </c:spPr>
          </c:marker>
          <c:xVal>
            <c:numRef>
              <c:f>Grayscale!$B$2</c:f>
              <c:numCache>
                <c:formatCode>0.000</c:formatCode>
                <c:ptCount val="1"/>
              </c:numCache>
            </c:numRef>
          </c:xVal>
          <c:yVal>
            <c:numRef>
              <c:f>Grayscale!$C$2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0B-426A-8DC9-456F9F4C4B31}"/>
            </c:ext>
          </c:extLst>
        </c:ser>
        <c:ser>
          <c:idx val="2"/>
          <c:order val="1"/>
          <c:tx>
            <c:strRef>
              <c:f>Grayscale!$A$3</c:f>
              <c:strCache>
                <c:ptCount val="1"/>
                <c:pt idx="0">
                  <c:v>32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200000"/>
              </a:solidFill>
              <a:ln w="9525">
                <a:noFill/>
              </a:ln>
              <a:effectLst/>
            </c:spPr>
          </c:marker>
          <c:xVal>
            <c:numRef>
              <c:f>Grayscale!$B$3</c:f>
              <c:numCache>
                <c:formatCode>0.000</c:formatCode>
                <c:ptCount val="1"/>
              </c:numCache>
            </c:numRef>
          </c:xVal>
          <c:yVal>
            <c:numRef>
              <c:f>Grayscale!$C$3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0B-426A-8DC9-456F9F4C4B31}"/>
            </c:ext>
          </c:extLst>
        </c:ser>
        <c:ser>
          <c:idx val="3"/>
          <c:order val="2"/>
          <c:tx>
            <c:strRef>
              <c:f>Grayscale!$A$4</c:f>
              <c:strCache>
                <c:ptCount val="1"/>
                <c:pt idx="0">
                  <c:v>48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300000"/>
              </a:solidFill>
              <a:ln w="9525">
                <a:noFill/>
              </a:ln>
              <a:effectLst/>
            </c:spPr>
          </c:marker>
          <c:xVal>
            <c:numRef>
              <c:f>Grayscale!$B$4</c:f>
              <c:numCache>
                <c:formatCode>0.000</c:formatCode>
                <c:ptCount val="1"/>
              </c:numCache>
            </c:numRef>
          </c:xVal>
          <c:yVal>
            <c:numRef>
              <c:f>Grayscale!$C$4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0B-426A-8DC9-456F9F4C4B31}"/>
            </c:ext>
          </c:extLst>
        </c:ser>
        <c:ser>
          <c:idx val="4"/>
          <c:order val="3"/>
          <c:tx>
            <c:strRef>
              <c:f>Grayscale!$A$5</c:f>
              <c:strCache>
                <c:ptCount val="1"/>
                <c:pt idx="0">
                  <c:v>64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400000"/>
              </a:solidFill>
              <a:ln w="9525">
                <a:noFill/>
              </a:ln>
              <a:effectLst/>
            </c:spPr>
          </c:marker>
          <c:xVal>
            <c:numRef>
              <c:f>Grayscale!$B$5</c:f>
              <c:numCache>
                <c:formatCode>0.000</c:formatCode>
                <c:ptCount val="1"/>
              </c:numCache>
            </c:numRef>
          </c:xVal>
          <c:yVal>
            <c:numRef>
              <c:f>Grayscale!$C$5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0B-426A-8DC9-456F9F4C4B31}"/>
            </c:ext>
          </c:extLst>
        </c:ser>
        <c:ser>
          <c:idx val="5"/>
          <c:order val="4"/>
          <c:tx>
            <c:strRef>
              <c:f>Grayscale!$A$6</c:f>
              <c:strCache>
                <c:ptCount val="1"/>
                <c:pt idx="0">
                  <c:v>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500000"/>
              </a:solidFill>
              <a:ln w="9525">
                <a:noFill/>
              </a:ln>
              <a:effectLst/>
            </c:spPr>
          </c:marker>
          <c:xVal>
            <c:numRef>
              <c:f>Grayscale!$B$6</c:f>
              <c:numCache>
                <c:formatCode>0.000</c:formatCode>
                <c:ptCount val="1"/>
              </c:numCache>
            </c:numRef>
          </c:xVal>
          <c:yVal>
            <c:numRef>
              <c:f>Grayscale!$C$6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0B-426A-8DC9-456F9F4C4B31}"/>
            </c:ext>
          </c:extLst>
        </c:ser>
        <c:ser>
          <c:idx val="6"/>
          <c:order val="5"/>
          <c:tx>
            <c:strRef>
              <c:f>Grayscale!$A$7</c:f>
              <c:strCache>
                <c:ptCount val="1"/>
                <c:pt idx="0">
                  <c:v>96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600000"/>
              </a:solidFill>
              <a:ln w="9525">
                <a:noFill/>
              </a:ln>
              <a:effectLst/>
            </c:spPr>
          </c:marker>
          <c:xVal>
            <c:numRef>
              <c:f>Grayscale!$B$7</c:f>
              <c:numCache>
                <c:formatCode>0.000</c:formatCode>
                <c:ptCount val="1"/>
              </c:numCache>
            </c:numRef>
          </c:xVal>
          <c:yVal>
            <c:numRef>
              <c:f>Grayscale!$C$7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0B-426A-8DC9-456F9F4C4B31}"/>
            </c:ext>
          </c:extLst>
        </c:ser>
        <c:ser>
          <c:idx val="7"/>
          <c:order val="6"/>
          <c:tx>
            <c:strRef>
              <c:f>Grayscale!$A$8</c:f>
              <c:strCache>
                <c:ptCount val="1"/>
                <c:pt idx="0">
                  <c:v>112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0000"/>
              </a:solidFill>
              <a:ln w="9525">
                <a:noFill/>
              </a:ln>
              <a:effectLst/>
            </c:spPr>
          </c:marker>
          <c:xVal>
            <c:numRef>
              <c:f>Grayscale!$B$8</c:f>
              <c:numCache>
                <c:formatCode>0.000</c:formatCode>
                <c:ptCount val="1"/>
              </c:numCache>
            </c:numRef>
          </c:xVal>
          <c:yVal>
            <c:numRef>
              <c:f>Grayscale!$C$8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0B-426A-8DC9-456F9F4C4B31}"/>
            </c:ext>
          </c:extLst>
        </c:ser>
        <c:ser>
          <c:idx val="8"/>
          <c:order val="7"/>
          <c:tx>
            <c:strRef>
              <c:f>Grayscale!$A$9</c:f>
              <c:strCache>
                <c:ptCount val="1"/>
                <c:pt idx="0">
                  <c:v>128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800000"/>
              </a:solidFill>
              <a:ln w="9525">
                <a:noFill/>
              </a:ln>
              <a:effectLst/>
            </c:spPr>
          </c:marker>
          <c:xVal>
            <c:numRef>
              <c:f>Grayscale!$B$9</c:f>
              <c:numCache>
                <c:formatCode>0.000</c:formatCode>
                <c:ptCount val="1"/>
              </c:numCache>
            </c:numRef>
          </c:xVal>
          <c:yVal>
            <c:numRef>
              <c:f>Grayscale!$C$9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60B-426A-8DC9-456F9F4C4B31}"/>
            </c:ext>
          </c:extLst>
        </c:ser>
        <c:ser>
          <c:idx val="9"/>
          <c:order val="8"/>
          <c:tx>
            <c:strRef>
              <c:f>Grayscale!$A$10</c:f>
              <c:strCache>
                <c:ptCount val="1"/>
                <c:pt idx="0">
                  <c:v>144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900000"/>
              </a:solidFill>
              <a:ln w="9525">
                <a:noFill/>
              </a:ln>
              <a:effectLst/>
            </c:spPr>
          </c:marker>
          <c:xVal>
            <c:numRef>
              <c:f>Grayscale!$B$10</c:f>
              <c:numCache>
                <c:formatCode>0.000</c:formatCode>
                <c:ptCount val="1"/>
              </c:numCache>
            </c:numRef>
          </c:xVal>
          <c:yVal>
            <c:numRef>
              <c:f>Grayscale!$C$10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60B-426A-8DC9-456F9F4C4B31}"/>
            </c:ext>
          </c:extLst>
        </c:ser>
        <c:ser>
          <c:idx val="10"/>
          <c:order val="9"/>
          <c:tx>
            <c:strRef>
              <c:f>Grayscale!$A$11</c:f>
              <c:strCache>
                <c:ptCount val="1"/>
                <c:pt idx="0">
                  <c:v>160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A00000"/>
              </a:solidFill>
              <a:ln w="9525">
                <a:noFill/>
              </a:ln>
              <a:effectLst/>
            </c:spPr>
          </c:marker>
          <c:xVal>
            <c:numRef>
              <c:f>Grayscale!$B$11</c:f>
              <c:numCache>
                <c:formatCode>0.000</c:formatCode>
                <c:ptCount val="1"/>
              </c:numCache>
            </c:numRef>
          </c:xVal>
          <c:yVal>
            <c:numRef>
              <c:f>Grayscale!$C$11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60B-426A-8DC9-456F9F4C4B31}"/>
            </c:ext>
          </c:extLst>
        </c:ser>
        <c:ser>
          <c:idx val="11"/>
          <c:order val="10"/>
          <c:tx>
            <c:strRef>
              <c:f>Grayscale!$A$12</c:f>
              <c:strCache>
                <c:ptCount val="1"/>
                <c:pt idx="0">
                  <c:v>176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B00000"/>
              </a:solidFill>
              <a:ln w="9525">
                <a:noFill/>
              </a:ln>
              <a:effectLst/>
            </c:spPr>
          </c:marker>
          <c:xVal>
            <c:numRef>
              <c:f>Grayscale!$B$12</c:f>
              <c:numCache>
                <c:formatCode>0.000</c:formatCode>
                <c:ptCount val="1"/>
              </c:numCache>
            </c:numRef>
          </c:xVal>
          <c:yVal>
            <c:numRef>
              <c:f>Grayscale!$C$12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60B-426A-8DC9-456F9F4C4B31}"/>
            </c:ext>
          </c:extLst>
        </c:ser>
        <c:ser>
          <c:idx val="12"/>
          <c:order val="11"/>
          <c:tx>
            <c:strRef>
              <c:f>Grayscale!$A$13</c:f>
              <c:strCache>
                <c:ptCount val="1"/>
                <c:pt idx="0">
                  <c:v>192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40000"/>
              </a:solidFill>
              <a:ln w="9525">
                <a:noFill/>
              </a:ln>
              <a:effectLst/>
            </c:spPr>
          </c:marker>
          <c:xVal>
            <c:numRef>
              <c:f>Grayscale!$B$13</c:f>
              <c:numCache>
                <c:formatCode>0.000</c:formatCode>
                <c:ptCount val="1"/>
              </c:numCache>
            </c:numRef>
          </c:xVal>
          <c:yVal>
            <c:numRef>
              <c:f>Grayscale!$C$13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60B-426A-8DC9-456F9F4C4B31}"/>
            </c:ext>
          </c:extLst>
        </c:ser>
        <c:ser>
          <c:idx val="13"/>
          <c:order val="12"/>
          <c:tx>
            <c:strRef>
              <c:f>Grayscale!$A$14</c:f>
              <c:strCache>
                <c:ptCount val="1"/>
                <c:pt idx="0">
                  <c:v>208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D00000"/>
              </a:solidFill>
              <a:ln w="9525">
                <a:noFill/>
              </a:ln>
              <a:effectLst/>
            </c:spPr>
          </c:marker>
          <c:xVal>
            <c:numRef>
              <c:f>Grayscale!$B$14</c:f>
              <c:numCache>
                <c:formatCode>0.000</c:formatCode>
                <c:ptCount val="1"/>
              </c:numCache>
            </c:numRef>
          </c:xVal>
          <c:yVal>
            <c:numRef>
              <c:f>Grayscale!$C$14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60B-426A-8DC9-456F9F4C4B31}"/>
            </c:ext>
          </c:extLst>
        </c:ser>
        <c:ser>
          <c:idx val="14"/>
          <c:order val="13"/>
          <c:tx>
            <c:strRef>
              <c:f>Grayscale!$A$15</c:f>
              <c:strCache>
                <c:ptCount val="1"/>
                <c:pt idx="0">
                  <c:v>224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E00000"/>
              </a:solidFill>
              <a:ln w="9525">
                <a:noFill/>
              </a:ln>
              <a:effectLst/>
            </c:spPr>
          </c:marker>
          <c:xVal>
            <c:numRef>
              <c:f>Grayscale!$B$15</c:f>
              <c:numCache>
                <c:formatCode>0.000</c:formatCode>
                <c:ptCount val="1"/>
              </c:numCache>
            </c:numRef>
          </c:xVal>
          <c:yVal>
            <c:numRef>
              <c:f>Grayscale!$C$15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60B-426A-8DC9-456F9F4C4B31}"/>
            </c:ext>
          </c:extLst>
        </c:ser>
        <c:ser>
          <c:idx val="15"/>
          <c:order val="14"/>
          <c:tx>
            <c:strRef>
              <c:f>Grayscale!$A$16</c:f>
              <c:strCache>
                <c:ptCount val="1"/>
                <c:pt idx="0">
                  <c:v>240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00000"/>
              </a:solidFill>
              <a:ln w="9525">
                <a:noFill/>
              </a:ln>
              <a:effectLst/>
            </c:spPr>
          </c:marker>
          <c:xVal>
            <c:numRef>
              <c:f>Grayscale!$B$16</c:f>
              <c:numCache>
                <c:formatCode>0.000</c:formatCode>
                <c:ptCount val="1"/>
              </c:numCache>
            </c:numRef>
          </c:xVal>
          <c:yVal>
            <c:numRef>
              <c:f>Grayscale!$C$16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60B-426A-8DC9-456F9F4C4B31}"/>
            </c:ext>
          </c:extLst>
        </c:ser>
        <c:ser>
          <c:idx val="16"/>
          <c:order val="15"/>
          <c:tx>
            <c:strRef>
              <c:f>Grayscale!$A$17</c:f>
              <c:strCache>
                <c:ptCount val="1"/>
                <c:pt idx="0">
                  <c:v>256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Grayscale!$B$17</c:f>
              <c:numCache>
                <c:formatCode>0.000</c:formatCode>
                <c:ptCount val="1"/>
              </c:numCache>
            </c:numRef>
          </c:xVal>
          <c:yVal>
            <c:numRef>
              <c:f>Grayscale!$C$17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60B-426A-8DC9-456F9F4C4B31}"/>
            </c:ext>
          </c:extLst>
        </c:ser>
        <c:ser>
          <c:idx val="0"/>
          <c:order val="16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ColorSpace!$G$3:$G$4</c:f>
              <c:numCache>
                <c:formatCode>0.0000_ </c:formatCode>
                <c:ptCount val="2"/>
                <c:pt idx="0">
                  <c:v>0.69227114962932179</c:v>
                </c:pt>
                <c:pt idx="1">
                  <c:v>0.6982711496293218</c:v>
                </c:pt>
              </c:numCache>
            </c:numRef>
          </c:xVal>
          <c:yVal>
            <c:numRef>
              <c:f>(ColorSpace!$H$3,ColorSpace!$H$3)</c:f>
              <c:numCache>
                <c:formatCode>0.0000_ </c:formatCode>
                <c:ptCount val="2"/>
                <c:pt idx="0">
                  <c:v>0.30160663092842244</c:v>
                </c:pt>
                <c:pt idx="1">
                  <c:v>0.30160663092842244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60B-426A-8DC9-456F9F4C4B31}"/>
            </c:ext>
          </c:extLst>
        </c:ser>
        <c:ser>
          <c:idx val="17"/>
          <c:order val="17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ColorSpace!$G$3:$G$4</c:f>
              <c:numCache>
                <c:formatCode>0.0000_ </c:formatCode>
                <c:ptCount val="2"/>
                <c:pt idx="0">
                  <c:v>0.69227114962932179</c:v>
                </c:pt>
                <c:pt idx="1">
                  <c:v>0.6982711496293218</c:v>
                </c:pt>
              </c:numCache>
            </c:numRef>
          </c:xVal>
          <c:yVal>
            <c:numRef>
              <c:f>(ColorSpace!$H$4,ColorSpace!$H$4)</c:f>
              <c:numCache>
                <c:formatCode>0.0000_ </c:formatCode>
                <c:ptCount val="2"/>
                <c:pt idx="0">
                  <c:v>0.30760663092842244</c:v>
                </c:pt>
                <c:pt idx="1">
                  <c:v>0.30760663092842244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60B-426A-8DC9-456F9F4C4B31}"/>
            </c:ext>
          </c:extLst>
        </c:ser>
        <c:ser>
          <c:idx val="18"/>
          <c:order val="18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(ColorSpace!$G$3,ColorSpace!$G$3)</c:f>
              <c:numCache>
                <c:formatCode>0.0000_ </c:formatCode>
                <c:ptCount val="2"/>
                <c:pt idx="0">
                  <c:v>0.69227114962932179</c:v>
                </c:pt>
                <c:pt idx="1">
                  <c:v>0.69227114962932179</c:v>
                </c:pt>
              </c:numCache>
            </c:numRef>
          </c:xVal>
          <c:yVal>
            <c:numRef>
              <c:f>ColorSpace!$H$3:$H$4</c:f>
              <c:numCache>
                <c:formatCode>0.0000_ </c:formatCode>
                <c:ptCount val="2"/>
                <c:pt idx="0">
                  <c:v>0.30160663092842244</c:v>
                </c:pt>
                <c:pt idx="1">
                  <c:v>0.30760663092842244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60B-426A-8DC9-456F9F4C4B31}"/>
            </c:ext>
          </c:extLst>
        </c:ser>
        <c:ser>
          <c:idx val="19"/>
          <c:order val="19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(ColorSpace!$G$4,ColorSpace!$G$4)</c:f>
              <c:numCache>
                <c:formatCode>0.0000_ </c:formatCode>
                <c:ptCount val="2"/>
                <c:pt idx="0">
                  <c:v>0.6982711496293218</c:v>
                </c:pt>
                <c:pt idx="1">
                  <c:v>0.6982711496293218</c:v>
                </c:pt>
              </c:numCache>
            </c:numRef>
          </c:xVal>
          <c:yVal>
            <c:numRef>
              <c:f>ColorSpace!$H$3:$H$4</c:f>
              <c:numCache>
                <c:formatCode>0.0000_ </c:formatCode>
                <c:ptCount val="2"/>
                <c:pt idx="0">
                  <c:v>0.30160663092842244</c:v>
                </c:pt>
                <c:pt idx="1">
                  <c:v>0.30760663092842244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60B-426A-8DC9-456F9F4C4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83984"/>
        <c:axId val="190483200"/>
      </c:scatterChart>
      <c:valAx>
        <c:axId val="190483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0483200"/>
        <c:crosses val="autoZero"/>
        <c:crossBetween val="midCat"/>
      </c:valAx>
      <c:valAx>
        <c:axId val="19048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0483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B</a:t>
            </a:r>
            <a:endParaRPr lang="zh-TW" altLang="en-US">
              <a:solidFill>
                <a:srgbClr val="0070C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Grayscale!$A$2</c:f>
              <c:strCache>
                <c:ptCount val="1"/>
                <c:pt idx="0">
                  <c:v>16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10"/>
              </a:solidFill>
              <a:ln w="9525">
                <a:noFill/>
              </a:ln>
              <a:effectLst/>
            </c:spPr>
          </c:marker>
          <c:xVal>
            <c:numRef>
              <c:f>Grayscale!$F$2</c:f>
              <c:numCache>
                <c:formatCode>0.000</c:formatCode>
                <c:ptCount val="1"/>
              </c:numCache>
            </c:numRef>
          </c:xVal>
          <c:yVal>
            <c:numRef>
              <c:f>Grayscale!$G$2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DA-4CDF-9D9A-6F79B6893026}"/>
            </c:ext>
          </c:extLst>
        </c:ser>
        <c:ser>
          <c:idx val="2"/>
          <c:order val="1"/>
          <c:tx>
            <c:strRef>
              <c:f>Grayscale!$A$3</c:f>
              <c:strCache>
                <c:ptCount val="1"/>
                <c:pt idx="0">
                  <c:v>32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20"/>
              </a:solidFill>
              <a:ln w="9525">
                <a:noFill/>
              </a:ln>
              <a:effectLst/>
            </c:spPr>
          </c:marker>
          <c:xVal>
            <c:numRef>
              <c:f>Grayscale!$F$3</c:f>
              <c:numCache>
                <c:formatCode>0.000</c:formatCode>
                <c:ptCount val="1"/>
              </c:numCache>
            </c:numRef>
          </c:xVal>
          <c:yVal>
            <c:numRef>
              <c:f>Grayscale!$G$3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DA-4CDF-9D9A-6F79B6893026}"/>
            </c:ext>
          </c:extLst>
        </c:ser>
        <c:ser>
          <c:idx val="3"/>
          <c:order val="2"/>
          <c:tx>
            <c:strRef>
              <c:f>Grayscale!$A$4</c:f>
              <c:strCache>
                <c:ptCount val="1"/>
                <c:pt idx="0">
                  <c:v>48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30"/>
              </a:solidFill>
              <a:ln w="9525">
                <a:noFill/>
              </a:ln>
              <a:effectLst/>
            </c:spPr>
          </c:marker>
          <c:xVal>
            <c:numRef>
              <c:f>Grayscale!$F$4</c:f>
              <c:numCache>
                <c:formatCode>0.000</c:formatCode>
                <c:ptCount val="1"/>
              </c:numCache>
            </c:numRef>
          </c:xVal>
          <c:yVal>
            <c:numRef>
              <c:f>Grayscale!$G$4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DA-4CDF-9D9A-6F79B6893026}"/>
            </c:ext>
          </c:extLst>
        </c:ser>
        <c:ser>
          <c:idx val="4"/>
          <c:order val="3"/>
          <c:tx>
            <c:strRef>
              <c:f>Grayscale!$A$5</c:f>
              <c:strCache>
                <c:ptCount val="1"/>
                <c:pt idx="0">
                  <c:v>64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40"/>
              </a:solidFill>
              <a:ln w="9525">
                <a:noFill/>
              </a:ln>
              <a:effectLst/>
            </c:spPr>
          </c:marker>
          <c:xVal>
            <c:numRef>
              <c:f>Grayscale!$F$5</c:f>
              <c:numCache>
                <c:formatCode>0.000</c:formatCode>
                <c:ptCount val="1"/>
              </c:numCache>
            </c:numRef>
          </c:xVal>
          <c:yVal>
            <c:numRef>
              <c:f>Grayscale!$G$5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DA-4CDF-9D9A-6F79B6893026}"/>
            </c:ext>
          </c:extLst>
        </c:ser>
        <c:ser>
          <c:idx val="5"/>
          <c:order val="4"/>
          <c:tx>
            <c:strRef>
              <c:f>Grayscale!$A$6</c:f>
              <c:strCache>
                <c:ptCount val="1"/>
                <c:pt idx="0">
                  <c:v>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50"/>
              </a:solidFill>
              <a:ln w="9525">
                <a:noFill/>
              </a:ln>
              <a:effectLst/>
            </c:spPr>
          </c:marker>
          <c:xVal>
            <c:numRef>
              <c:f>Grayscale!$F$6</c:f>
              <c:numCache>
                <c:formatCode>0.000</c:formatCode>
                <c:ptCount val="1"/>
              </c:numCache>
            </c:numRef>
          </c:xVal>
          <c:yVal>
            <c:numRef>
              <c:f>Grayscale!$G$6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6DA-4CDF-9D9A-6F79B6893026}"/>
            </c:ext>
          </c:extLst>
        </c:ser>
        <c:ser>
          <c:idx val="6"/>
          <c:order val="5"/>
          <c:tx>
            <c:strRef>
              <c:f>Grayscale!$A$7</c:f>
              <c:strCache>
                <c:ptCount val="1"/>
                <c:pt idx="0">
                  <c:v>96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60"/>
              </a:solidFill>
              <a:ln w="9525">
                <a:noFill/>
              </a:ln>
              <a:effectLst/>
            </c:spPr>
          </c:marker>
          <c:xVal>
            <c:numRef>
              <c:f>Grayscale!$F$7</c:f>
              <c:numCache>
                <c:formatCode>0.000</c:formatCode>
                <c:ptCount val="1"/>
              </c:numCache>
            </c:numRef>
          </c:xVal>
          <c:yVal>
            <c:numRef>
              <c:f>Grayscale!$G$7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6DA-4CDF-9D9A-6F79B6893026}"/>
            </c:ext>
          </c:extLst>
        </c:ser>
        <c:ser>
          <c:idx val="7"/>
          <c:order val="6"/>
          <c:tx>
            <c:strRef>
              <c:f>Grayscale!$A$8</c:f>
              <c:strCache>
                <c:ptCount val="1"/>
                <c:pt idx="0">
                  <c:v>112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70"/>
              </a:solidFill>
              <a:ln w="9525">
                <a:noFill/>
              </a:ln>
              <a:effectLst/>
            </c:spPr>
          </c:marker>
          <c:xVal>
            <c:numRef>
              <c:f>Grayscale!$F$8</c:f>
              <c:numCache>
                <c:formatCode>0.000</c:formatCode>
                <c:ptCount val="1"/>
              </c:numCache>
            </c:numRef>
          </c:xVal>
          <c:yVal>
            <c:numRef>
              <c:f>Grayscale!$G$8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6DA-4CDF-9D9A-6F79B6893026}"/>
            </c:ext>
          </c:extLst>
        </c:ser>
        <c:ser>
          <c:idx val="8"/>
          <c:order val="7"/>
          <c:tx>
            <c:strRef>
              <c:f>Grayscale!$A$9</c:f>
              <c:strCache>
                <c:ptCount val="1"/>
                <c:pt idx="0">
                  <c:v>128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80"/>
              </a:solidFill>
              <a:ln w="9525">
                <a:noFill/>
              </a:ln>
              <a:effectLst/>
            </c:spPr>
          </c:marker>
          <c:xVal>
            <c:numRef>
              <c:f>Grayscale!$F$9</c:f>
              <c:numCache>
                <c:formatCode>0.000</c:formatCode>
                <c:ptCount val="1"/>
              </c:numCache>
            </c:numRef>
          </c:xVal>
          <c:yVal>
            <c:numRef>
              <c:f>Grayscale!$G$9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6DA-4CDF-9D9A-6F79B6893026}"/>
            </c:ext>
          </c:extLst>
        </c:ser>
        <c:ser>
          <c:idx val="9"/>
          <c:order val="8"/>
          <c:tx>
            <c:strRef>
              <c:f>Grayscale!$A$10</c:f>
              <c:strCache>
                <c:ptCount val="1"/>
                <c:pt idx="0">
                  <c:v>144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90"/>
              </a:solidFill>
              <a:ln w="9525">
                <a:noFill/>
              </a:ln>
              <a:effectLst/>
            </c:spPr>
          </c:marker>
          <c:xVal>
            <c:numRef>
              <c:f>Grayscale!$F$10</c:f>
              <c:numCache>
                <c:formatCode>0.000</c:formatCode>
                <c:ptCount val="1"/>
              </c:numCache>
            </c:numRef>
          </c:xVal>
          <c:yVal>
            <c:numRef>
              <c:f>Grayscale!$G$10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6DA-4CDF-9D9A-6F79B6893026}"/>
            </c:ext>
          </c:extLst>
        </c:ser>
        <c:ser>
          <c:idx val="10"/>
          <c:order val="9"/>
          <c:tx>
            <c:strRef>
              <c:f>Grayscale!$A$11</c:f>
              <c:strCache>
                <c:ptCount val="1"/>
                <c:pt idx="0">
                  <c:v>160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A0"/>
              </a:solidFill>
              <a:ln w="9525">
                <a:noFill/>
              </a:ln>
              <a:effectLst/>
            </c:spPr>
          </c:marker>
          <c:xVal>
            <c:numRef>
              <c:f>Grayscale!$F$11</c:f>
              <c:numCache>
                <c:formatCode>0.000</c:formatCode>
                <c:ptCount val="1"/>
              </c:numCache>
            </c:numRef>
          </c:xVal>
          <c:yVal>
            <c:numRef>
              <c:f>Grayscale!$G$11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6DA-4CDF-9D9A-6F79B6893026}"/>
            </c:ext>
          </c:extLst>
        </c:ser>
        <c:ser>
          <c:idx val="11"/>
          <c:order val="10"/>
          <c:tx>
            <c:strRef>
              <c:f>Grayscale!$A$12</c:f>
              <c:strCache>
                <c:ptCount val="1"/>
                <c:pt idx="0">
                  <c:v>176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B0"/>
              </a:solidFill>
              <a:ln w="9525">
                <a:noFill/>
              </a:ln>
              <a:effectLst/>
            </c:spPr>
          </c:marker>
          <c:xVal>
            <c:numRef>
              <c:f>Grayscale!$F$12</c:f>
              <c:numCache>
                <c:formatCode>0.000</c:formatCode>
                <c:ptCount val="1"/>
              </c:numCache>
            </c:numRef>
          </c:xVal>
          <c:yVal>
            <c:numRef>
              <c:f>Grayscale!$G$12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6DA-4CDF-9D9A-6F79B6893026}"/>
            </c:ext>
          </c:extLst>
        </c:ser>
        <c:ser>
          <c:idx val="12"/>
          <c:order val="11"/>
          <c:tx>
            <c:strRef>
              <c:f>Grayscale!$A$13</c:f>
              <c:strCache>
                <c:ptCount val="1"/>
                <c:pt idx="0">
                  <c:v>192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C4"/>
              </a:solidFill>
              <a:ln w="9525">
                <a:noFill/>
              </a:ln>
              <a:effectLst/>
            </c:spPr>
          </c:marker>
          <c:xVal>
            <c:numRef>
              <c:f>Grayscale!$F$13</c:f>
              <c:numCache>
                <c:formatCode>0.000</c:formatCode>
                <c:ptCount val="1"/>
              </c:numCache>
            </c:numRef>
          </c:xVal>
          <c:yVal>
            <c:numRef>
              <c:f>Grayscale!$G$13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6DA-4CDF-9D9A-6F79B6893026}"/>
            </c:ext>
          </c:extLst>
        </c:ser>
        <c:ser>
          <c:idx val="13"/>
          <c:order val="12"/>
          <c:tx>
            <c:strRef>
              <c:f>Grayscale!$A$14</c:f>
              <c:strCache>
                <c:ptCount val="1"/>
                <c:pt idx="0">
                  <c:v>208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D0"/>
              </a:solidFill>
              <a:ln w="9525">
                <a:noFill/>
              </a:ln>
              <a:effectLst/>
            </c:spPr>
          </c:marker>
          <c:xVal>
            <c:numRef>
              <c:f>Grayscale!$F$14</c:f>
              <c:numCache>
                <c:formatCode>0.000</c:formatCode>
                <c:ptCount val="1"/>
              </c:numCache>
            </c:numRef>
          </c:xVal>
          <c:yVal>
            <c:numRef>
              <c:f>Grayscale!$G$14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6DA-4CDF-9D9A-6F79B6893026}"/>
            </c:ext>
          </c:extLst>
        </c:ser>
        <c:ser>
          <c:idx val="14"/>
          <c:order val="13"/>
          <c:tx>
            <c:strRef>
              <c:f>Grayscale!$A$15</c:f>
              <c:strCache>
                <c:ptCount val="1"/>
                <c:pt idx="0">
                  <c:v>224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E0"/>
              </a:solidFill>
              <a:ln w="9525">
                <a:noFill/>
              </a:ln>
              <a:effectLst/>
            </c:spPr>
          </c:marker>
          <c:xVal>
            <c:numRef>
              <c:f>Grayscale!$F$15</c:f>
              <c:numCache>
                <c:formatCode>0.000</c:formatCode>
                <c:ptCount val="1"/>
              </c:numCache>
            </c:numRef>
          </c:xVal>
          <c:yVal>
            <c:numRef>
              <c:f>Grayscale!$G$15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6DA-4CDF-9D9A-6F79B6893026}"/>
            </c:ext>
          </c:extLst>
        </c:ser>
        <c:ser>
          <c:idx val="15"/>
          <c:order val="14"/>
          <c:tx>
            <c:strRef>
              <c:f>Grayscale!$A$16</c:f>
              <c:strCache>
                <c:ptCount val="1"/>
                <c:pt idx="0">
                  <c:v>240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F0"/>
              </a:solidFill>
              <a:ln w="9525">
                <a:noFill/>
              </a:ln>
              <a:effectLst/>
            </c:spPr>
          </c:marker>
          <c:xVal>
            <c:numRef>
              <c:f>Grayscale!$F$16</c:f>
              <c:numCache>
                <c:formatCode>0.000</c:formatCode>
                <c:ptCount val="1"/>
              </c:numCache>
            </c:numRef>
          </c:xVal>
          <c:yVal>
            <c:numRef>
              <c:f>Grayscale!$G$16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6DA-4CDF-9D9A-6F79B6893026}"/>
            </c:ext>
          </c:extLst>
        </c:ser>
        <c:ser>
          <c:idx val="16"/>
          <c:order val="15"/>
          <c:tx>
            <c:strRef>
              <c:f>Grayscale!$A$17</c:f>
              <c:strCache>
                <c:ptCount val="1"/>
                <c:pt idx="0">
                  <c:v>256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Grayscale!$F$17</c:f>
              <c:numCache>
                <c:formatCode>0.000</c:formatCode>
                <c:ptCount val="1"/>
              </c:numCache>
            </c:numRef>
          </c:xVal>
          <c:yVal>
            <c:numRef>
              <c:f>Grayscale!$G$17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6DA-4CDF-9D9A-6F79B6893026}"/>
            </c:ext>
          </c:extLst>
        </c:ser>
        <c:ser>
          <c:idx val="0"/>
          <c:order val="16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ColorSpace!$G$7:$G$8</c:f>
              <c:numCache>
                <c:formatCode>0.0000_ </c:formatCode>
                <c:ptCount val="2"/>
                <c:pt idx="0">
                  <c:v>0.13456756863761068</c:v>
                </c:pt>
                <c:pt idx="1">
                  <c:v>0.14056756863761069</c:v>
                </c:pt>
              </c:numCache>
            </c:numRef>
          </c:xVal>
          <c:yVal>
            <c:numRef>
              <c:f>(ColorSpace!$H$7,ColorSpace!$H$7)</c:f>
              <c:numCache>
                <c:formatCode>0.0000_ </c:formatCode>
                <c:ptCount val="2"/>
                <c:pt idx="0">
                  <c:v>4.3044267422174674E-2</c:v>
                </c:pt>
                <c:pt idx="1">
                  <c:v>4.3044267422174674E-2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6DA-4CDF-9D9A-6F79B6893026}"/>
            </c:ext>
          </c:extLst>
        </c:ser>
        <c:ser>
          <c:idx val="17"/>
          <c:order val="17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ColorSpace!$G$7:$G$8</c:f>
              <c:numCache>
                <c:formatCode>0.0000_ </c:formatCode>
                <c:ptCount val="2"/>
                <c:pt idx="0">
                  <c:v>0.13456756863761068</c:v>
                </c:pt>
                <c:pt idx="1">
                  <c:v>0.14056756863761069</c:v>
                </c:pt>
              </c:numCache>
            </c:numRef>
          </c:xVal>
          <c:yVal>
            <c:numRef>
              <c:f>(ColorSpace!$H$8,ColorSpace!$H$8)</c:f>
              <c:numCache>
                <c:formatCode>0.0000_ </c:formatCode>
                <c:ptCount val="2"/>
                <c:pt idx="0">
                  <c:v>4.904426742217468E-2</c:v>
                </c:pt>
                <c:pt idx="1">
                  <c:v>4.904426742217468E-2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6DA-4CDF-9D9A-6F79B6893026}"/>
            </c:ext>
          </c:extLst>
        </c:ser>
        <c:ser>
          <c:idx val="18"/>
          <c:order val="18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(ColorSpace!$G$7,ColorSpace!$G$7)</c:f>
              <c:numCache>
                <c:formatCode>0.0000_ </c:formatCode>
                <c:ptCount val="2"/>
                <c:pt idx="0">
                  <c:v>0.13456756863761068</c:v>
                </c:pt>
                <c:pt idx="1">
                  <c:v>0.13456756863761068</c:v>
                </c:pt>
              </c:numCache>
            </c:numRef>
          </c:xVal>
          <c:yVal>
            <c:numRef>
              <c:f>ColorSpace!$H$7:$H$8</c:f>
              <c:numCache>
                <c:formatCode>0.0000_ </c:formatCode>
                <c:ptCount val="2"/>
                <c:pt idx="0">
                  <c:v>4.3044267422174674E-2</c:v>
                </c:pt>
                <c:pt idx="1">
                  <c:v>4.904426742217468E-2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6DA-4CDF-9D9A-6F79B6893026}"/>
            </c:ext>
          </c:extLst>
        </c:ser>
        <c:ser>
          <c:idx val="19"/>
          <c:order val="19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(ColorSpace!$G$8,ColorSpace!$G$8)</c:f>
              <c:numCache>
                <c:formatCode>0.0000_ </c:formatCode>
                <c:ptCount val="2"/>
                <c:pt idx="0">
                  <c:v>0.14056756863761069</c:v>
                </c:pt>
                <c:pt idx="1">
                  <c:v>0.14056756863761069</c:v>
                </c:pt>
              </c:numCache>
            </c:numRef>
          </c:xVal>
          <c:yVal>
            <c:numRef>
              <c:f>ColorSpace!$H$7:$H$8</c:f>
              <c:numCache>
                <c:formatCode>0.0000_ </c:formatCode>
                <c:ptCount val="2"/>
                <c:pt idx="0">
                  <c:v>4.3044267422174674E-2</c:v>
                </c:pt>
                <c:pt idx="1">
                  <c:v>4.904426742217468E-2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6DA-4CDF-9D9A-6F79B6893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87120"/>
        <c:axId val="190488688"/>
      </c:scatterChart>
      <c:valAx>
        <c:axId val="19048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0488688"/>
        <c:crosses val="autoZero"/>
        <c:crossBetween val="midCat"/>
      </c:valAx>
      <c:valAx>
        <c:axId val="19048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0487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 altLang="zh-TW"/>
              <a:t>γ</a:t>
            </a:r>
            <a:r>
              <a:rPr lang="zh-TW" altLang="en-US"/>
              <a:t> </a:t>
            </a:r>
            <a:r>
              <a:rPr lang="en-US" altLang="zh-TW"/>
              <a:t>Curve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Gamma!$D$1</c:f>
              <c:strCache>
                <c:ptCount val="1"/>
                <c:pt idx="0">
                  <c:v>γ=2.0</c:v>
                </c:pt>
              </c:strCache>
            </c:strRef>
          </c:tx>
          <c:spPr>
            <a:ln w="19050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20000"/>
                    <a:lumOff val="80000"/>
                  </a:schemeClr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Gamma!$D$2:$D$18</c:f>
              <c:numCache>
                <c:formatCode>0.00</c:formatCode>
                <c:ptCount val="17"/>
                <c:pt idx="0">
                  <c:v>0</c:v>
                </c:pt>
                <c:pt idx="1">
                  <c:v>3.90625E-3</c:v>
                </c:pt>
                <c:pt idx="2">
                  <c:v>1.5625E-2</c:v>
                </c:pt>
                <c:pt idx="3">
                  <c:v>3.515625E-2</c:v>
                </c:pt>
                <c:pt idx="4">
                  <c:v>6.25E-2</c:v>
                </c:pt>
                <c:pt idx="5">
                  <c:v>9.765625E-2</c:v>
                </c:pt>
                <c:pt idx="6">
                  <c:v>0.140625</c:v>
                </c:pt>
                <c:pt idx="7">
                  <c:v>0.19140625</c:v>
                </c:pt>
                <c:pt idx="8">
                  <c:v>0.25</c:v>
                </c:pt>
                <c:pt idx="9">
                  <c:v>0.31640625</c:v>
                </c:pt>
                <c:pt idx="10">
                  <c:v>0.390625</c:v>
                </c:pt>
                <c:pt idx="11">
                  <c:v>0.47265625</c:v>
                </c:pt>
                <c:pt idx="12">
                  <c:v>0.5625</c:v>
                </c:pt>
                <c:pt idx="13">
                  <c:v>0.66015625</c:v>
                </c:pt>
                <c:pt idx="14">
                  <c:v>0.765625</c:v>
                </c:pt>
                <c:pt idx="15">
                  <c:v>0.87890625</c:v>
                </c:pt>
                <c:pt idx="1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9B-4518-9ABD-F6CE4ED55D9E}"/>
            </c:ext>
          </c:extLst>
        </c:ser>
        <c:ser>
          <c:idx val="3"/>
          <c:order val="3"/>
          <c:tx>
            <c:strRef>
              <c:f>Gamma!$E$1</c:f>
              <c:strCache>
                <c:ptCount val="1"/>
                <c:pt idx="0">
                  <c:v>γ=2.2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Gamma!$E$2:$E$18</c:f>
              <c:numCache>
                <c:formatCode>0.00</c:formatCode>
                <c:ptCount val="17"/>
                <c:pt idx="0">
                  <c:v>0</c:v>
                </c:pt>
                <c:pt idx="1">
                  <c:v>2.2435514746035842E-3</c:v>
                </c:pt>
                <c:pt idx="2">
                  <c:v>1.0308655552913239E-2</c:v>
                </c:pt>
                <c:pt idx="3">
                  <c:v>2.5153753378803309E-2</c:v>
                </c:pt>
                <c:pt idx="4">
                  <c:v>4.7366142703449944E-2</c:v>
                </c:pt>
                <c:pt idx="5">
                  <c:v>7.7387362913140287E-2</c:v>
                </c:pt>
                <c:pt idx="6">
                  <c:v>0.11557630051292991</c:v>
                </c:pt>
                <c:pt idx="7">
                  <c:v>0.16223767959091667</c:v>
                </c:pt>
                <c:pt idx="8">
                  <c:v>0.21763764082403103</c:v>
                </c:pt>
                <c:pt idx="9">
                  <c:v>0.28201327948290289</c:v>
                </c:pt>
                <c:pt idx="10">
                  <c:v>0.35557894590353128</c:v>
                </c:pt>
                <c:pt idx="11">
                  <c:v>0.43853064274849257</c:v>
                </c:pt>
                <c:pt idx="12">
                  <c:v>0.53104922510338237</c:v>
                </c:pt>
                <c:pt idx="13">
                  <c:v>0.63330280739194678</c:v>
                </c:pt>
                <c:pt idx="14">
                  <c:v>0.7454486226584881</c:v>
                </c:pt>
                <c:pt idx="15">
                  <c:v>0.8676344908453798</c:v>
                </c:pt>
                <c:pt idx="1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9B-4518-9ABD-F6CE4ED55D9E}"/>
            </c:ext>
          </c:extLst>
        </c:ser>
        <c:ser>
          <c:idx val="4"/>
          <c:order val="4"/>
          <c:tx>
            <c:strRef>
              <c:f>Gamma!$F$1</c:f>
              <c:strCache>
                <c:ptCount val="1"/>
                <c:pt idx="0">
                  <c:v>γ=2.4</c:v>
                </c:pt>
              </c:strCache>
            </c:strRef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Gamma!$F$2:$F$18</c:f>
              <c:numCache>
                <c:formatCode>0.00</c:formatCode>
                <c:ptCount val="17"/>
                <c:pt idx="0">
                  <c:v>0</c:v>
                </c:pt>
                <c:pt idx="1">
                  <c:v>1.2885819441141547E-3</c:v>
                </c:pt>
                <c:pt idx="2">
                  <c:v>6.8011762757509715E-3</c:v>
                </c:pt>
                <c:pt idx="3">
                  <c:v>1.7997121679407202E-2</c:v>
                </c:pt>
                <c:pt idx="4">
                  <c:v>3.5896823593657347E-2</c:v>
                </c:pt>
                <c:pt idx="5">
                  <c:v>6.1325352331776856E-2</c:v>
                </c:pt>
                <c:pt idx="6">
                  <c:v>9.4989377708480663E-2</c:v>
                </c:pt>
                <c:pt idx="7">
                  <c:v>0.13751413383337766</c:v>
                </c:pt>
                <c:pt idx="8">
                  <c:v>0.18946457081379975</c:v>
                </c:pt>
                <c:pt idx="9">
                  <c:v>0.25135878259263811</c:v>
                </c:pt>
                <c:pt idx="10">
                  <c:v>0.32367715013085807</c:v>
                </c:pt>
                <c:pt idx="11">
                  <c:v>0.40686889177791691</c:v>
                </c:pt>
                <c:pt idx="12">
                  <c:v>0.50135694130293851</c:v>
                </c:pt>
                <c:pt idx="13">
                  <c:v>0.60754169312268314</c:v>
                </c:pt>
                <c:pt idx="14">
                  <c:v>0.72580394974489726</c:v>
                </c:pt>
                <c:pt idx="15">
                  <c:v>0.85650728926381103</c:v>
                </c:pt>
                <c:pt idx="1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9B-4518-9ABD-F6CE4ED55D9E}"/>
            </c:ext>
          </c:extLst>
        </c:ser>
        <c:ser>
          <c:idx val="6"/>
          <c:order val="6"/>
          <c:tx>
            <c:strRef>
              <c:f>Gamma!$H$1</c:f>
              <c:strCache>
                <c:ptCount val="1"/>
                <c:pt idx="0">
                  <c:v>Red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Gamma!$H$2:$H$18</c:f>
              <c:numCache>
                <c:formatCode>0.00_ </c:formatCode>
                <c:ptCount val="17"/>
                <c:pt idx="0" formatCode="0.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C9B-4518-9ABD-F6CE4ED55D9E}"/>
            </c:ext>
          </c:extLst>
        </c:ser>
        <c:ser>
          <c:idx val="7"/>
          <c:order val="7"/>
          <c:tx>
            <c:strRef>
              <c:f>Gamma!$I$1</c:f>
              <c:strCache>
                <c:ptCount val="1"/>
                <c:pt idx="0">
                  <c:v>Green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Gamma!$I$2:$I$18</c:f>
              <c:numCache>
                <c:formatCode>0.00_ </c:formatCode>
                <c:ptCount val="17"/>
                <c:pt idx="0" formatCode="0.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C9B-4518-9ABD-F6CE4ED55D9E}"/>
            </c:ext>
          </c:extLst>
        </c:ser>
        <c:ser>
          <c:idx val="8"/>
          <c:order val="8"/>
          <c:tx>
            <c:strRef>
              <c:f>Gamma!$J$1</c:f>
              <c:strCache>
                <c:ptCount val="1"/>
                <c:pt idx="0">
                  <c:v>Blue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Gamma!$J$2:$J$18</c:f>
              <c:numCache>
                <c:formatCode>0.00_ </c:formatCode>
                <c:ptCount val="17"/>
                <c:pt idx="0" formatCode="0.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C9B-4518-9ABD-F6CE4ED55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83592"/>
        <c:axId val="19048986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Gamma!$B$1</c15:sqref>
                        </c15:formulaRef>
                      </c:ext>
                    </c:extLst>
                    <c:strCache>
                      <c:ptCount val="1"/>
                      <c:pt idx="0">
                        <c:v>γ=1.6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Gamma!$A$2:$A$18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0</c:v>
                      </c:pt>
                      <c:pt idx="1">
                        <c:v>16</c:v>
                      </c:pt>
                      <c:pt idx="2">
                        <c:v>32</c:v>
                      </c:pt>
                      <c:pt idx="3">
                        <c:v>48</c:v>
                      </c:pt>
                      <c:pt idx="4">
                        <c:v>64</c:v>
                      </c:pt>
                      <c:pt idx="5">
                        <c:v>80</c:v>
                      </c:pt>
                      <c:pt idx="6">
                        <c:v>96</c:v>
                      </c:pt>
                      <c:pt idx="7">
                        <c:v>112</c:v>
                      </c:pt>
                      <c:pt idx="8">
                        <c:v>128</c:v>
                      </c:pt>
                      <c:pt idx="9">
                        <c:v>144</c:v>
                      </c:pt>
                      <c:pt idx="10">
                        <c:v>160</c:v>
                      </c:pt>
                      <c:pt idx="11">
                        <c:v>176</c:v>
                      </c:pt>
                      <c:pt idx="12">
                        <c:v>192</c:v>
                      </c:pt>
                      <c:pt idx="13">
                        <c:v>208</c:v>
                      </c:pt>
                      <c:pt idx="14">
                        <c:v>224</c:v>
                      </c:pt>
                      <c:pt idx="15">
                        <c:v>240</c:v>
                      </c:pt>
                      <c:pt idx="16">
                        <c:v>256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Gamma!$B$2:$B$18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0</c:v>
                      </c:pt>
                      <c:pt idx="1">
                        <c:v>1.1841535675862489E-2</c:v>
                      </c:pt>
                      <c:pt idx="2">
                        <c:v>3.5896823593657347E-2</c:v>
                      </c:pt>
                      <c:pt idx="3">
                        <c:v>6.8675532458988775E-2</c:v>
                      </c:pt>
                      <c:pt idx="4">
                        <c:v>0.10881882041201553</c:v>
                      </c:pt>
                      <c:pt idx="5">
                        <c:v>0.15551061349745987</c:v>
                      </c:pt>
                      <c:pt idx="6">
                        <c:v>0.20818528452402374</c:v>
                      </c:pt>
                      <c:pt idx="7">
                        <c:v>0.26641881469037815</c:v>
                      </c:pt>
                      <c:pt idx="8">
                        <c:v>0.32987697769322361</c:v>
                      </c:pt>
                      <c:pt idx="9">
                        <c:v>0.39828691882753681</c:v>
                      </c:pt>
                      <c:pt idx="10">
                        <c:v>0.47142002629259083</c:v>
                      </c:pt>
                      <c:pt idx="11">
                        <c:v>0.54908088374080977</c:v>
                      </c:pt>
                      <c:pt idx="12">
                        <c:v>0.63109976931348721</c:v>
                      </c:pt>
                      <c:pt idx="13">
                        <c:v>0.7173273527518359</c:v>
                      </c:pt>
                      <c:pt idx="14">
                        <c:v>0.80763082211253989</c:v>
                      </c:pt>
                      <c:pt idx="15">
                        <c:v>0.90189097742883728</c:v>
                      </c:pt>
                      <c:pt idx="16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2C9B-4518-9ABD-F6CE4ED55D9E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Gamma!$C$1</c15:sqref>
                        </c15:formulaRef>
                      </c:ext>
                    </c:extLst>
                    <c:strCache>
                      <c:ptCount val="1"/>
                      <c:pt idx="0">
                        <c:v>γ=1.8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Gamma!$A$2:$A$18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0</c:v>
                      </c:pt>
                      <c:pt idx="1">
                        <c:v>16</c:v>
                      </c:pt>
                      <c:pt idx="2">
                        <c:v>32</c:v>
                      </c:pt>
                      <c:pt idx="3">
                        <c:v>48</c:v>
                      </c:pt>
                      <c:pt idx="4">
                        <c:v>64</c:v>
                      </c:pt>
                      <c:pt idx="5">
                        <c:v>80</c:v>
                      </c:pt>
                      <c:pt idx="6">
                        <c:v>96</c:v>
                      </c:pt>
                      <c:pt idx="7">
                        <c:v>112</c:v>
                      </c:pt>
                      <c:pt idx="8">
                        <c:v>128</c:v>
                      </c:pt>
                      <c:pt idx="9">
                        <c:v>144</c:v>
                      </c:pt>
                      <c:pt idx="10">
                        <c:v>160</c:v>
                      </c:pt>
                      <c:pt idx="11">
                        <c:v>176</c:v>
                      </c:pt>
                      <c:pt idx="12">
                        <c:v>192</c:v>
                      </c:pt>
                      <c:pt idx="13">
                        <c:v>208</c:v>
                      </c:pt>
                      <c:pt idx="14">
                        <c:v>224</c:v>
                      </c:pt>
                      <c:pt idx="15">
                        <c:v>240</c:v>
                      </c:pt>
                      <c:pt idx="16">
                        <c:v>256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Gamma!$C$2:$C$18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0</c:v>
                      </c:pt>
                      <c:pt idx="1">
                        <c:v>6.8011762757509715E-3</c:v>
                      </c:pt>
                      <c:pt idx="2">
                        <c:v>2.3683071351724979E-2</c:v>
                      </c:pt>
                      <c:pt idx="3">
                        <c:v>4.9136281788626661E-2</c:v>
                      </c:pt>
                      <c:pt idx="4">
                        <c:v>8.2469244423305901E-2</c:v>
                      </c:pt>
                      <c:pt idx="5">
                        <c:v>0.12323385634378772</c:v>
                      </c:pt>
                      <c:pt idx="6">
                        <c:v>0.17110247115746413</c:v>
                      </c:pt>
                      <c:pt idx="7">
                        <c:v>0.22581901215205549</c:v>
                      </c:pt>
                      <c:pt idx="8">
                        <c:v>0.28717458874925877</c:v>
                      </c:pt>
                      <c:pt idx="9">
                        <c:v>0.35499362023883657</c:v>
                      </c:pt>
                      <c:pt idx="10">
                        <c:v>0.42912521222895222</c:v>
                      </c:pt>
                      <c:pt idx="11">
                        <c:v>0.50943744606734309</c:v>
                      </c:pt>
                      <c:pt idx="12">
                        <c:v>0.59581341058995696</c:v>
                      </c:pt>
                      <c:pt idx="13">
                        <c:v>0.68814833808930986</c:v>
                      </c:pt>
                      <c:pt idx="14">
                        <c:v>0.78634747292778484</c:v>
                      </c:pt>
                      <c:pt idx="15">
                        <c:v>0.89032444472833272</c:v>
                      </c:pt>
                      <c:pt idx="1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C9B-4518-9ABD-F6CE4ED55D9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Gamma!$G$1</c15:sqref>
                        </c15:formulaRef>
                      </c:ext>
                    </c:extLst>
                    <c:strCache>
                      <c:ptCount val="1"/>
                      <c:pt idx="0">
                        <c:v>γ=2.6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Gamma!$A$2:$A$18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0</c:v>
                      </c:pt>
                      <c:pt idx="1">
                        <c:v>16</c:v>
                      </c:pt>
                      <c:pt idx="2">
                        <c:v>32</c:v>
                      </c:pt>
                      <c:pt idx="3">
                        <c:v>48</c:v>
                      </c:pt>
                      <c:pt idx="4">
                        <c:v>64</c:v>
                      </c:pt>
                      <c:pt idx="5">
                        <c:v>80</c:v>
                      </c:pt>
                      <c:pt idx="6">
                        <c:v>96</c:v>
                      </c:pt>
                      <c:pt idx="7">
                        <c:v>112</c:v>
                      </c:pt>
                      <c:pt idx="8">
                        <c:v>128</c:v>
                      </c:pt>
                      <c:pt idx="9">
                        <c:v>144</c:v>
                      </c:pt>
                      <c:pt idx="10">
                        <c:v>160</c:v>
                      </c:pt>
                      <c:pt idx="11">
                        <c:v>176</c:v>
                      </c:pt>
                      <c:pt idx="12">
                        <c:v>192</c:v>
                      </c:pt>
                      <c:pt idx="13">
                        <c:v>208</c:v>
                      </c:pt>
                      <c:pt idx="14">
                        <c:v>224</c:v>
                      </c:pt>
                      <c:pt idx="15">
                        <c:v>240</c:v>
                      </c:pt>
                      <c:pt idx="16">
                        <c:v>256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Gamma!$G$2:$G$18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0</c:v>
                      </c:pt>
                      <c:pt idx="1">
                        <c:v>7.4009597974140527E-4</c:v>
                      </c:pt>
                      <c:pt idx="2">
                        <c:v>4.4871029492071692E-3</c:v>
                      </c:pt>
                      <c:pt idx="3">
                        <c:v>1.2876662336060394E-2</c:v>
                      </c:pt>
                      <c:pt idx="4">
                        <c:v>2.7204705103003879E-2</c:v>
                      </c:pt>
                      <c:pt idx="5">
                        <c:v>4.8597066717956196E-2</c:v>
                      </c:pt>
                      <c:pt idx="6">
                        <c:v>7.8069481696508902E-2</c:v>
                      </c:pt>
                      <c:pt idx="7">
                        <c:v>0.11655823142704044</c:v>
                      </c:pt>
                      <c:pt idx="8">
                        <c:v>0.16493848884661177</c:v>
                      </c:pt>
                      <c:pt idx="9">
                        <c:v>0.22403639184048946</c:v>
                      </c:pt>
                      <c:pt idx="10">
                        <c:v>0.29463751643286928</c:v>
                      </c:pt>
                      <c:pt idx="11">
                        <c:v>0.37749310757180671</c:v>
                      </c:pt>
                      <c:pt idx="12">
                        <c:v>0.47332482698511547</c:v>
                      </c:pt>
                      <c:pt idx="13">
                        <c:v>0.58282847411086658</c:v>
                      </c:pt>
                      <c:pt idx="14">
                        <c:v>0.70667696934847235</c:v>
                      </c:pt>
                      <c:pt idx="15">
                        <c:v>0.84552279133953501</c:v>
                      </c:pt>
                      <c:pt idx="1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C9B-4518-9ABD-F6CE4ED55D9E}"/>
                  </c:ext>
                </c:extLst>
              </c15:ser>
            </c15:filteredScatterSeries>
          </c:ext>
        </c:extLst>
      </c:scatterChart>
      <c:valAx>
        <c:axId val="190483592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0489864"/>
        <c:crosses val="autoZero"/>
        <c:crossBetween val="midCat"/>
        <c:majorUnit val="16"/>
      </c:valAx>
      <c:valAx>
        <c:axId val="1904898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0483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en-US"/>
              <a:t>CIE 1931</a:t>
            </a:r>
            <a:r>
              <a:rPr lang="en-US" altLang="en-US" baseline="0"/>
              <a:t> (</a:t>
            </a:r>
            <a:r>
              <a:rPr lang="en-US" altLang="en-US"/>
              <a:t>xy)</a:t>
            </a:r>
          </a:p>
        </c:rich>
      </c:tx>
      <c:layout>
        <c:manualLayout>
          <c:xMode val="edge"/>
          <c:yMode val="edge"/>
          <c:x val="0.45437986569138117"/>
          <c:y val="3.076924361029469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963513649274424"/>
          <c:y val="8.0341913871324819E-2"/>
          <c:w val="0.81021951954607663"/>
          <c:h val="0.8119661508272179"/>
        </c:manualLayout>
      </c:layout>
      <c:scatterChart>
        <c:scatterStyle val="lineMarker"/>
        <c:varyColors val="0"/>
        <c:ser>
          <c:idx val="19"/>
          <c:order val="0"/>
          <c:tx>
            <c:v>R16</c:v>
          </c:tx>
          <c:marker>
            <c:symbol val="circle"/>
            <c:size val="2"/>
            <c:spPr>
              <a:solidFill>
                <a:srgbClr val="101010"/>
              </a:solidFill>
              <a:ln>
                <a:noFill/>
              </a:ln>
            </c:spPr>
          </c:marker>
          <c:xVal>
            <c:numRef>
              <c:f>Grayscale!$B$2</c:f>
              <c:numCache>
                <c:formatCode>0.000</c:formatCode>
                <c:ptCount val="1"/>
              </c:numCache>
            </c:numRef>
          </c:xVal>
          <c:yVal>
            <c:numRef>
              <c:f>Grayscale!$C$2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E9-4D27-9E4F-EC09F43B0555}"/>
            </c:ext>
          </c:extLst>
        </c:ser>
        <c:ser>
          <c:idx val="20"/>
          <c:order val="1"/>
          <c:tx>
            <c:v>R32</c:v>
          </c:tx>
          <c:marker>
            <c:symbol val="circle"/>
            <c:size val="2"/>
            <c:spPr>
              <a:solidFill>
                <a:srgbClr val="202020"/>
              </a:solidFill>
              <a:ln>
                <a:noFill/>
              </a:ln>
            </c:spPr>
          </c:marker>
          <c:xVal>
            <c:numRef>
              <c:f>Grayscale!$B$3</c:f>
              <c:numCache>
                <c:formatCode>0.000</c:formatCode>
                <c:ptCount val="1"/>
              </c:numCache>
            </c:numRef>
          </c:xVal>
          <c:yVal>
            <c:numRef>
              <c:f>Grayscale!$C$3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E9-4D27-9E4F-EC09F43B0555}"/>
            </c:ext>
          </c:extLst>
        </c:ser>
        <c:ser>
          <c:idx val="21"/>
          <c:order val="2"/>
          <c:tx>
            <c:v>R48</c:v>
          </c:tx>
          <c:marker>
            <c:symbol val="circle"/>
            <c:size val="2"/>
            <c:spPr>
              <a:solidFill>
                <a:srgbClr val="303030"/>
              </a:solidFill>
              <a:ln>
                <a:noFill/>
              </a:ln>
            </c:spPr>
          </c:marker>
          <c:xVal>
            <c:numRef>
              <c:f>Grayscale!$B$4</c:f>
              <c:numCache>
                <c:formatCode>0.000</c:formatCode>
                <c:ptCount val="1"/>
              </c:numCache>
            </c:numRef>
          </c:xVal>
          <c:yVal>
            <c:numRef>
              <c:f>Grayscale!$C$4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E9-4D27-9E4F-EC09F43B0555}"/>
            </c:ext>
          </c:extLst>
        </c:ser>
        <c:ser>
          <c:idx val="22"/>
          <c:order val="3"/>
          <c:tx>
            <c:v>R64</c:v>
          </c:tx>
          <c:marker>
            <c:symbol val="circle"/>
            <c:size val="2"/>
            <c:spPr>
              <a:solidFill>
                <a:srgbClr val="404040"/>
              </a:solidFill>
              <a:ln>
                <a:noFill/>
              </a:ln>
            </c:spPr>
          </c:marker>
          <c:xVal>
            <c:numRef>
              <c:f>Grayscale!$B$5</c:f>
              <c:numCache>
                <c:formatCode>0.000</c:formatCode>
                <c:ptCount val="1"/>
              </c:numCache>
            </c:numRef>
          </c:xVal>
          <c:yVal>
            <c:numRef>
              <c:f>Grayscale!$C$5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E9-4D27-9E4F-EC09F43B0555}"/>
            </c:ext>
          </c:extLst>
        </c:ser>
        <c:ser>
          <c:idx val="23"/>
          <c:order val="4"/>
          <c:tx>
            <c:v>R80</c:v>
          </c:tx>
          <c:marker>
            <c:symbol val="circle"/>
            <c:size val="2"/>
            <c:spPr>
              <a:solidFill>
                <a:srgbClr val="505050"/>
              </a:solidFill>
              <a:ln>
                <a:noFill/>
              </a:ln>
            </c:spPr>
          </c:marker>
          <c:xVal>
            <c:numRef>
              <c:f>Grayscale!$B$6</c:f>
              <c:numCache>
                <c:formatCode>0.000</c:formatCode>
                <c:ptCount val="1"/>
              </c:numCache>
            </c:numRef>
          </c:xVal>
          <c:yVal>
            <c:numRef>
              <c:f>Grayscale!$C$6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E9-4D27-9E4F-EC09F43B0555}"/>
            </c:ext>
          </c:extLst>
        </c:ser>
        <c:ser>
          <c:idx val="24"/>
          <c:order val="5"/>
          <c:tx>
            <c:v>R96</c:v>
          </c:tx>
          <c:marker>
            <c:symbol val="circle"/>
            <c:size val="2"/>
            <c:spPr>
              <a:solidFill>
                <a:srgbClr val="606060"/>
              </a:solidFill>
              <a:ln>
                <a:noFill/>
              </a:ln>
            </c:spPr>
          </c:marker>
          <c:xVal>
            <c:numRef>
              <c:f>Grayscale!$B$7</c:f>
              <c:numCache>
                <c:formatCode>0.000</c:formatCode>
                <c:ptCount val="1"/>
              </c:numCache>
            </c:numRef>
          </c:xVal>
          <c:yVal>
            <c:numRef>
              <c:f>Grayscale!$C$7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3E9-4D27-9E4F-EC09F43B0555}"/>
            </c:ext>
          </c:extLst>
        </c:ser>
        <c:ser>
          <c:idx val="25"/>
          <c:order val="6"/>
          <c:tx>
            <c:v>R112</c:v>
          </c:tx>
          <c:marker>
            <c:symbol val="circle"/>
            <c:size val="2"/>
            <c:spPr>
              <a:solidFill>
                <a:srgbClr val="707070"/>
              </a:solidFill>
              <a:ln>
                <a:noFill/>
              </a:ln>
            </c:spPr>
          </c:marker>
          <c:xVal>
            <c:numRef>
              <c:f>Grayscale!$B$8</c:f>
              <c:numCache>
                <c:formatCode>0.000</c:formatCode>
                <c:ptCount val="1"/>
              </c:numCache>
            </c:numRef>
          </c:xVal>
          <c:yVal>
            <c:numRef>
              <c:f>Grayscale!$C$8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3E9-4D27-9E4F-EC09F43B0555}"/>
            </c:ext>
          </c:extLst>
        </c:ser>
        <c:ser>
          <c:idx val="26"/>
          <c:order val="7"/>
          <c:tx>
            <c:v>R128</c:v>
          </c:tx>
          <c:marker>
            <c:symbol val="circle"/>
            <c:size val="2"/>
            <c:spPr>
              <a:solidFill>
                <a:srgbClr val="808080"/>
              </a:solidFill>
              <a:ln>
                <a:noFill/>
              </a:ln>
            </c:spPr>
          </c:marker>
          <c:xVal>
            <c:numRef>
              <c:f>Grayscale!$B$9</c:f>
              <c:numCache>
                <c:formatCode>0.000</c:formatCode>
                <c:ptCount val="1"/>
              </c:numCache>
            </c:numRef>
          </c:xVal>
          <c:yVal>
            <c:numRef>
              <c:f>Grayscale!$C$9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3E9-4D27-9E4F-EC09F43B0555}"/>
            </c:ext>
          </c:extLst>
        </c:ser>
        <c:ser>
          <c:idx val="27"/>
          <c:order val="8"/>
          <c:tx>
            <c:v>R144</c:v>
          </c:tx>
          <c:marker>
            <c:symbol val="circle"/>
            <c:size val="2"/>
            <c:spPr>
              <a:solidFill>
                <a:srgbClr val="909090"/>
              </a:solidFill>
              <a:ln>
                <a:noFill/>
              </a:ln>
            </c:spPr>
          </c:marker>
          <c:xVal>
            <c:numRef>
              <c:f>Grayscale!$B$10</c:f>
              <c:numCache>
                <c:formatCode>0.000</c:formatCode>
                <c:ptCount val="1"/>
              </c:numCache>
            </c:numRef>
          </c:xVal>
          <c:yVal>
            <c:numRef>
              <c:f>Grayscale!$C$10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3E9-4D27-9E4F-EC09F43B0555}"/>
            </c:ext>
          </c:extLst>
        </c:ser>
        <c:ser>
          <c:idx val="28"/>
          <c:order val="9"/>
          <c:tx>
            <c:v>R160</c:v>
          </c:tx>
          <c:marker>
            <c:symbol val="circle"/>
            <c:size val="2"/>
            <c:spPr>
              <a:solidFill>
                <a:srgbClr val="A0A0A0"/>
              </a:solidFill>
              <a:ln>
                <a:noFill/>
              </a:ln>
            </c:spPr>
          </c:marker>
          <c:xVal>
            <c:numRef>
              <c:f>Grayscale!$B$11</c:f>
              <c:numCache>
                <c:formatCode>0.000</c:formatCode>
                <c:ptCount val="1"/>
              </c:numCache>
            </c:numRef>
          </c:xVal>
          <c:yVal>
            <c:numRef>
              <c:f>Grayscale!$C$11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3E9-4D27-9E4F-EC09F43B0555}"/>
            </c:ext>
          </c:extLst>
        </c:ser>
        <c:ser>
          <c:idx val="29"/>
          <c:order val="10"/>
          <c:tx>
            <c:v>R176</c:v>
          </c:tx>
          <c:marker>
            <c:symbol val="circle"/>
            <c:size val="2"/>
            <c:spPr>
              <a:solidFill>
                <a:srgbClr val="B0B0B0"/>
              </a:solidFill>
              <a:ln>
                <a:noFill/>
              </a:ln>
            </c:spPr>
          </c:marker>
          <c:xVal>
            <c:numRef>
              <c:f>Grayscale!$B$12</c:f>
              <c:numCache>
                <c:formatCode>0.000</c:formatCode>
                <c:ptCount val="1"/>
              </c:numCache>
            </c:numRef>
          </c:xVal>
          <c:yVal>
            <c:numRef>
              <c:f>Grayscale!$C$12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3E9-4D27-9E4F-EC09F43B0555}"/>
            </c:ext>
          </c:extLst>
        </c:ser>
        <c:ser>
          <c:idx val="30"/>
          <c:order val="11"/>
          <c:tx>
            <c:v>R192</c:v>
          </c:tx>
          <c:marker>
            <c:symbol val="circle"/>
            <c:size val="2"/>
            <c:spPr>
              <a:solidFill>
                <a:srgbClr val="C0C0C0"/>
              </a:solidFill>
              <a:ln>
                <a:noFill/>
              </a:ln>
            </c:spPr>
          </c:marker>
          <c:xVal>
            <c:numRef>
              <c:f>Grayscale!$B$13</c:f>
              <c:numCache>
                <c:formatCode>0.000</c:formatCode>
                <c:ptCount val="1"/>
              </c:numCache>
            </c:numRef>
          </c:xVal>
          <c:yVal>
            <c:numRef>
              <c:f>Grayscale!$C$13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3E9-4D27-9E4F-EC09F43B0555}"/>
            </c:ext>
          </c:extLst>
        </c:ser>
        <c:ser>
          <c:idx val="31"/>
          <c:order val="12"/>
          <c:tx>
            <c:v>R208</c:v>
          </c:tx>
          <c:marker>
            <c:symbol val="circle"/>
            <c:size val="2"/>
            <c:spPr>
              <a:solidFill>
                <a:srgbClr val="D0D0D0"/>
              </a:solidFill>
              <a:ln>
                <a:noFill/>
              </a:ln>
            </c:spPr>
          </c:marker>
          <c:xVal>
            <c:numRef>
              <c:f>Grayscale!$B$14</c:f>
              <c:numCache>
                <c:formatCode>0.000</c:formatCode>
                <c:ptCount val="1"/>
              </c:numCache>
            </c:numRef>
          </c:xVal>
          <c:yVal>
            <c:numRef>
              <c:f>Grayscale!$C$14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3E9-4D27-9E4F-EC09F43B0555}"/>
            </c:ext>
          </c:extLst>
        </c:ser>
        <c:ser>
          <c:idx val="32"/>
          <c:order val="13"/>
          <c:tx>
            <c:v>R224</c:v>
          </c:tx>
          <c:marker>
            <c:symbol val="circle"/>
            <c:size val="2"/>
            <c:spPr>
              <a:solidFill>
                <a:srgbClr val="E0E0E0"/>
              </a:solidFill>
              <a:ln>
                <a:noFill/>
              </a:ln>
            </c:spPr>
          </c:marker>
          <c:xVal>
            <c:numRef>
              <c:f>Grayscale!$B$15</c:f>
              <c:numCache>
                <c:formatCode>0.000</c:formatCode>
                <c:ptCount val="1"/>
              </c:numCache>
            </c:numRef>
          </c:xVal>
          <c:yVal>
            <c:numRef>
              <c:f>Grayscale!$C$15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3E9-4D27-9E4F-EC09F43B0555}"/>
            </c:ext>
          </c:extLst>
        </c:ser>
        <c:ser>
          <c:idx val="33"/>
          <c:order val="14"/>
          <c:tx>
            <c:v>R240</c:v>
          </c:tx>
          <c:marker>
            <c:symbol val="circle"/>
            <c:size val="2"/>
            <c:spPr>
              <a:solidFill>
                <a:srgbClr val="F0F0F0"/>
              </a:solidFill>
              <a:ln>
                <a:noFill/>
              </a:ln>
            </c:spPr>
          </c:marker>
          <c:xVal>
            <c:numRef>
              <c:f>Grayscale!$B$16</c:f>
              <c:numCache>
                <c:formatCode>0.000</c:formatCode>
                <c:ptCount val="1"/>
              </c:numCache>
            </c:numRef>
          </c:xVal>
          <c:yVal>
            <c:numRef>
              <c:f>Grayscale!$C$16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3E9-4D27-9E4F-EC09F43B0555}"/>
            </c:ext>
          </c:extLst>
        </c:ser>
        <c:ser>
          <c:idx val="34"/>
          <c:order val="15"/>
          <c:tx>
            <c:v>R256</c:v>
          </c:tx>
          <c:marker>
            <c:symbol val="circle"/>
            <c:size val="2"/>
            <c:spPr>
              <a:solidFill>
                <a:srgbClr val="FFFFFF"/>
              </a:solidFill>
              <a:ln>
                <a:noFill/>
              </a:ln>
            </c:spPr>
          </c:marker>
          <c:xVal>
            <c:numRef>
              <c:f>Grayscale!$B$17</c:f>
              <c:numCache>
                <c:formatCode>0.000</c:formatCode>
                <c:ptCount val="1"/>
              </c:numCache>
            </c:numRef>
          </c:xVal>
          <c:yVal>
            <c:numRef>
              <c:f>Grayscale!$C$17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3E9-4D27-9E4F-EC09F43B0555}"/>
            </c:ext>
          </c:extLst>
        </c:ser>
        <c:ser>
          <c:idx val="0"/>
          <c:order val="16"/>
          <c:tx>
            <c:v>G16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rgbClr val="101010"/>
              </a:solidFill>
              <a:ln>
                <a:noFill/>
              </a:ln>
            </c:spPr>
          </c:marker>
          <c:xVal>
            <c:numRef>
              <c:f>Grayscale!$D$2</c:f>
              <c:numCache>
                <c:formatCode>0.000</c:formatCode>
                <c:ptCount val="1"/>
              </c:numCache>
            </c:numRef>
          </c:xVal>
          <c:yVal>
            <c:numRef>
              <c:f>Grayscale!$E$2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3E9-4D27-9E4F-EC09F43B0555}"/>
            </c:ext>
          </c:extLst>
        </c:ser>
        <c:ser>
          <c:idx val="1"/>
          <c:order val="17"/>
          <c:tx>
            <c:v>G32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rgbClr val="202020"/>
              </a:solidFill>
              <a:ln>
                <a:noFill/>
              </a:ln>
            </c:spPr>
          </c:marker>
          <c:xVal>
            <c:numRef>
              <c:f>Grayscale!$D$3</c:f>
              <c:numCache>
                <c:formatCode>0.000</c:formatCode>
                <c:ptCount val="1"/>
              </c:numCache>
            </c:numRef>
          </c:xVal>
          <c:yVal>
            <c:numRef>
              <c:f>Grayscale!$E$3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3E9-4D27-9E4F-EC09F43B0555}"/>
            </c:ext>
          </c:extLst>
        </c:ser>
        <c:ser>
          <c:idx val="2"/>
          <c:order val="18"/>
          <c:tx>
            <c:v>G48</c:v>
          </c:tx>
          <c:marker>
            <c:symbol val="circle"/>
            <c:size val="2"/>
            <c:spPr>
              <a:solidFill>
                <a:srgbClr val="303030"/>
              </a:solidFill>
              <a:ln>
                <a:noFill/>
              </a:ln>
            </c:spPr>
          </c:marker>
          <c:xVal>
            <c:numRef>
              <c:f>Grayscale!$D$4</c:f>
              <c:numCache>
                <c:formatCode>0.000</c:formatCode>
                <c:ptCount val="1"/>
              </c:numCache>
            </c:numRef>
          </c:xVal>
          <c:yVal>
            <c:numRef>
              <c:f>Grayscale!$E$4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3E9-4D27-9E4F-EC09F43B0555}"/>
            </c:ext>
          </c:extLst>
        </c:ser>
        <c:ser>
          <c:idx val="3"/>
          <c:order val="19"/>
          <c:tx>
            <c:v>G64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rgbClr val="404040"/>
              </a:solidFill>
              <a:ln>
                <a:noFill/>
              </a:ln>
            </c:spPr>
          </c:marker>
          <c:xVal>
            <c:numRef>
              <c:f>Grayscale!$D$5</c:f>
              <c:numCache>
                <c:formatCode>0.000</c:formatCode>
                <c:ptCount val="1"/>
              </c:numCache>
            </c:numRef>
          </c:xVal>
          <c:yVal>
            <c:numRef>
              <c:f>Grayscale!$E$5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3E9-4D27-9E4F-EC09F43B0555}"/>
            </c:ext>
          </c:extLst>
        </c:ser>
        <c:ser>
          <c:idx val="4"/>
          <c:order val="20"/>
          <c:tx>
            <c:v>G80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rgbClr val="505050"/>
              </a:solidFill>
              <a:ln>
                <a:noFill/>
              </a:ln>
            </c:spPr>
          </c:marker>
          <c:xVal>
            <c:numRef>
              <c:f>Grayscale!$D$6</c:f>
              <c:numCache>
                <c:formatCode>0.000</c:formatCode>
                <c:ptCount val="1"/>
              </c:numCache>
            </c:numRef>
          </c:xVal>
          <c:yVal>
            <c:numRef>
              <c:f>Grayscale!$E$6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3E9-4D27-9E4F-EC09F43B0555}"/>
            </c:ext>
          </c:extLst>
        </c:ser>
        <c:ser>
          <c:idx val="5"/>
          <c:order val="21"/>
          <c:tx>
            <c:v>G96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rgbClr val="606060"/>
              </a:solidFill>
              <a:ln>
                <a:noFill/>
              </a:ln>
            </c:spPr>
          </c:marker>
          <c:xVal>
            <c:numRef>
              <c:f>Grayscale!$D$7</c:f>
              <c:numCache>
                <c:formatCode>0.000</c:formatCode>
                <c:ptCount val="1"/>
              </c:numCache>
            </c:numRef>
          </c:xVal>
          <c:yVal>
            <c:numRef>
              <c:f>Grayscale!$E$7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3E9-4D27-9E4F-EC09F43B0555}"/>
            </c:ext>
          </c:extLst>
        </c:ser>
        <c:ser>
          <c:idx val="6"/>
          <c:order val="22"/>
          <c:tx>
            <c:v>G112</c:v>
          </c:tx>
          <c:marker>
            <c:symbol val="circle"/>
            <c:size val="2"/>
            <c:spPr>
              <a:solidFill>
                <a:srgbClr val="707070"/>
              </a:solidFill>
              <a:ln>
                <a:noFill/>
              </a:ln>
            </c:spPr>
          </c:marker>
          <c:xVal>
            <c:numRef>
              <c:f>Grayscale!$D$8</c:f>
              <c:numCache>
                <c:formatCode>0.000</c:formatCode>
                <c:ptCount val="1"/>
              </c:numCache>
            </c:numRef>
          </c:xVal>
          <c:yVal>
            <c:numRef>
              <c:f>Grayscale!$E$8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3E9-4D27-9E4F-EC09F43B0555}"/>
            </c:ext>
          </c:extLst>
        </c:ser>
        <c:ser>
          <c:idx val="7"/>
          <c:order val="23"/>
          <c:tx>
            <c:v>G128</c:v>
          </c:tx>
          <c:marker>
            <c:symbol val="circle"/>
            <c:size val="2"/>
            <c:spPr>
              <a:solidFill>
                <a:srgbClr val="808080"/>
              </a:solidFill>
              <a:ln>
                <a:noFill/>
              </a:ln>
            </c:spPr>
          </c:marker>
          <c:xVal>
            <c:numRef>
              <c:f>Grayscale!$D$9</c:f>
              <c:numCache>
                <c:formatCode>0.000</c:formatCode>
                <c:ptCount val="1"/>
              </c:numCache>
            </c:numRef>
          </c:xVal>
          <c:yVal>
            <c:numRef>
              <c:f>Grayscale!$E$9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3E9-4D27-9E4F-EC09F43B0555}"/>
            </c:ext>
          </c:extLst>
        </c:ser>
        <c:ser>
          <c:idx val="8"/>
          <c:order val="24"/>
          <c:tx>
            <c:v>G144</c:v>
          </c:tx>
          <c:marker>
            <c:symbol val="circle"/>
            <c:size val="2"/>
            <c:spPr>
              <a:solidFill>
                <a:srgbClr val="909090"/>
              </a:solidFill>
              <a:ln>
                <a:noFill/>
              </a:ln>
            </c:spPr>
          </c:marker>
          <c:xVal>
            <c:numRef>
              <c:f>Grayscale!$D$10</c:f>
              <c:numCache>
                <c:formatCode>0.000</c:formatCode>
                <c:ptCount val="1"/>
              </c:numCache>
            </c:numRef>
          </c:xVal>
          <c:yVal>
            <c:numRef>
              <c:f>Grayscale!$E$10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3E9-4D27-9E4F-EC09F43B0555}"/>
            </c:ext>
          </c:extLst>
        </c:ser>
        <c:ser>
          <c:idx val="9"/>
          <c:order val="25"/>
          <c:tx>
            <c:v>G160</c:v>
          </c:tx>
          <c:marker>
            <c:symbol val="circle"/>
            <c:size val="2"/>
            <c:spPr>
              <a:solidFill>
                <a:srgbClr val="A0A0A0"/>
              </a:solidFill>
              <a:ln>
                <a:noFill/>
              </a:ln>
            </c:spPr>
          </c:marker>
          <c:xVal>
            <c:numRef>
              <c:f>Grayscale!$D$11</c:f>
              <c:numCache>
                <c:formatCode>0.000</c:formatCode>
                <c:ptCount val="1"/>
              </c:numCache>
            </c:numRef>
          </c:xVal>
          <c:yVal>
            <c:numRef>
              <c:f>Grayscale!$E$11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3E9-4D27-9E4F-EC09F43B0555}"/>
            </c:ext>
          </c:extLst>
        </c:ser>
        <c:ser>
          <c:idx val="13"/>
          <c:order val="26"/>
          <c:tx>
            <c:v>G176</c:v>
          </c:tx>
          <c:marker>
            <c:symbol val="circle"/>
            <c:size val="2"/>
            <c:spPr>
              <a:solidFill>
                <a:srgbClr val="B0B0B0"/>
              </a:solidFill>
              <a:ln>
                <a:noFill/>
              </a:ln>
            </c:spPr>
          </c:marker>
          <c:xVal>
            <c:numRef>
              <c:f>Grayscale!$D$12</c:f>
              <c:numCache>
                <c:formatCode>0.000</c:formatCode>
                <c:ptCount val="1"/>
              </c:numCache>
            </c:numRef>
          </c:xVal>
          <c:yVal>
            <c:numRef>
              <c:f>Grayscale!$E$12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3E9-4D27-9E4F-EC09F43B0555}"/>
            </c:ext>
          </c:extLst>
        </c:ser>
        <c:ser>
          <c:idx val="14"/>
          <c:order val="27"/>
          <c:tx>
            <c:v>G196</c:v>
          </c:tx>
          <c:marker>
            <c:symbol val="circle"/>
            <c:size val="2"/>
            <c:spPr>
              <a:solidFill>
                <a:srgbClr val="C4C4C4"/>
              </a:solidFill>
              <a:ln>
                <a:noFill/>
              </a:ln>
            </c:spPr>
          </c:marker>
          <c:xVal>
            <c:numRef>
              <c:f>Grayscale!$D$13</c:f>
              <c:numCache>
                <c:formatCode>0.000</c:formatCode>
                <c:ptCount val="1"/>
              </c:numCache>
            </c:numRef>
          </c:xVal>
          <c:yVal>
            <c:numRef>
              <c:f>Grayscale!$E$13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3E9-4D27-9E4F-EC09F43B0555}"/>
            </c:ext>
          </c:extLst>
        </c:ser>
        <c:ser>
          <c:idx val="15"/>
          <c:order val="28"/>
          <c:tx>
            <c:v>G208</c:v>
          </c:tx>
          <c:marker>
            <c:symbol val="circle"/>
            <c:size val="2"/>
            <c:spPr>
              <a:solidFill>
                <a:srgbClr val="D0D0D0"/>
              </a:solidFill>
              <a:ln>
                <a:noFill/>
              </a:ln>
            </c:spPr>
          </c:marker>
          <c:xVal>
            <c:numRef>
              <c:f>Grayscale!$D$14</c:f>
              <c:numCache>
                <c:formatCode>0.000</c:formatCode>
                <c:ptCount val="1"/>
              </c:numCache>
            </c:numRef>
          </c:xVal>
          <c:yVal>
            <c:numRef>
              <c:f>Grayscale!$E$14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3E9-4D27-9E4F-EC09F43B0555}"/>
            </c:ext>
          </c:extLst>
        </c:ser>
        <c:ser>
          <c:idx val="16"/>
          <c:order val="29"/>
          <c:tx>
            <c:v>G224</c:v>
          </c:tx>
          <c:marker>
            <c:symbol val="circle"/>
            <c:size val="2"/>
            <c:spPr>
              <a:solidFill>
                <a:srgbClr val="E0E0E0"/>
              </a:solidFill>
              <a:ln>
                <a:noFill/>
              </a:ln>
            </c:spPr>
          </c:marker>
          <c:xVal>
            <c:numRef>
              <c:f>Grayscale!$D$15</c:f>
              <c:numCache>
                <c:formatCode>0.000</c:formatCode>
                <c:ptCount val="1"/>
              </c:numCache>
            </c:numRef>
          </c:xVal>
          <c:yVal>
            <c:numRef>
              <c:f>Grayscale!$E$15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3E9-4D27-9E4F-EC09F43B0555}"/>
            </c:ext>
          </c:extLst>
        </c:ser>
        <c:ser>
          <c:idx val="17"/>
          <c:order val="30"/>
          <c:tx>
            <c:v>G240</c:v>
          </c:tx>
          <c:marker>
            <c:symbol val="circle"/>
            <c:size val="2"/>
            <c:spPr>
              <a:solidFill>
                <a:srgbClr val="F0F0F0"/>
              </a:solidFill>
              <a:ln>
                <a:noFill/>
              </a:ln>
            </c:spPr>
          </c:marker>
          <c:xVal>
            <c:numRef>
              <c:f>Grayscale!$D$16</c:f>
              <c:numCache>
                <c:formatCode>0.000</c:formatCode>
                <c:ptCount val="1"/>
              </c:numCache>
            </c:numRef>
          </c:xVal>
          <c:yVal>
            <c:numRef>
              <c:f>Grayscale!$E$16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3E9-4D27-9E4F-EC09F43B0555}"/>
            </c:ext>
          </c:extLst>
        </c:ser>
        <c:ser>
          <c:idx val="18"/>
          <c:order val="31"/>
          <c:tx>
            <c:v>G256</c:v>
          </c:tx>
          <c:marker>
            <c:symbol val="circle"/>
            <c:size val="2"/>
            <c:spPr>
              <a:solidFill>
                <a:srgbClr val="FFFFFF"/>
              </a:solidFill>
              <a:ln>
                <a:noFill/>
              </a:ln>
            </c:spPr>
          </c:marker>
          <c:xVal>
            <c:numRef>
              <c:f>Grayscale!$D$17</c:f>
              <c:numCache>
                <c:formatCode>0.000</c:formatCode>
                <c:ptCount val="1"/>
              </c:numCache>
            </c:numRef>
          </c:xVal>
          <c:yVal>
            <c:numRef>
              <c:f>Grayscale!$E$17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3E9-4D27-9E4F-EC09F43B0555}"/>
            </c:ext>
          </c:extLst>
        </c:ser>
        <c:ser>
          <c:idx val="35"/>
          <c:order val="32"/>
          <c:tx>
            <c:v>B16</c:v>
          </c:tx>
          <c:marker>
            <c:symbol val="circle"/>
            <c:size val="2"/>
            <c:spPr>
              <a:solidFill>
                <a:srgbClr val="101010"/>
              </a:solidFill>
              <a:ln>
                <a:noFill/>
              </a:ln>
            </c:spPr>
          </c:marker>
          <c:xVal>
            <c:numRef>
              <c:f>Grayscale!$F$2</c:f>
              <c:numCache>
                <c:formatCode>0.000</c:formatCode>
                <c:ptCount val="1"/>
              </c:numCache>
            </c:numRef>
          </c:xVal>
          <c:yVal>
            <c:numRef>
              <c:f>Grayscale!$G$2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3E9-4D27-9E4F-EC09F43B0555}"/>
            </c:ext>
          </c:extLst>
        </c:ser>
        <c:ser>
          <c:idx val="36"/>
          <c:order val="33"/>
          <c:tx>
            <c:v>B32</c:v>
          </c:tx>
          <c:marker>
            <c:symbol val="circle"/>
            <c:size val="2"/>
            <c:spPr>
              <a:solidFill>
                <a:srgbClr val="202020"/>
              </a:solidFill>
              <a:ln>
                <a:noFill/>
              </a:ln>
            </c:spPr>
          </c:marker>
          <c:xVal>
            <c:numRef>
              <c:f>Grayscale!$F$3</c:f>
              <c:numCache>
                <c:formatCode>0.000</c:formatCode>
                <c:ptCount val="1"/>
              </c:numCache>
            </c:numRef>
          </c:xVal>
          <c:yVal>
            <c:numRef>
              <c:f>Grayscale!$G$3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3E9-4D27-9E4F-EC09F43B0555}"/>
            </c:ext>
          </c:extLst>
        </c:ser>
        <c:ser>
          <c:idx val="37"/>
          <c:order val="34"/>
          <c:tx>
            <c:v>B48</c:v>
          </c:tx>
          <c:marker>
            <c:symbol val="circle"/>
            <c:size val="2"/>
            <c:spPr>
              <a:solidFill>
                <a:srgbClr val="303030"/>
              </a:solidFill>
              <a:ln>
                <a:noFill/>
              </a:ln>
            </c:spPr>
          </c:marker>
          <c:xVal>
            <c:numRef>
              <c:f>Grayscale!$F$4</c:f>
              <c:numCache>
                <c:formatCode>0.000</c:formatCode>
                <c:ptCount val="1"/>
              </c:numCache>
            </c:numRef>
          </c:xVal>
          <c:yVal>
            <c:numRef>
              <c:f>Grayscale!$G$4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3E9-4D27-9E4F-EC09F43B0555}"/>
            </c:ext>
          </c:extLst>
        </c:ser>
        <c:ser>
          <c:idx val="38"/>
          <c:order val="35"/>
          <c:tx>
            <c:v>B64</c:v>
          </c:tx>
          <c:marker>
            <c:symbol val="circle"/>
            <c:size val="2"/>
            <c:spPr>
              <a:solidFill>
                <a:srgbClr val="404040"/>
              </a:solidFill>
              <a:ln>
                <a:noFill/>
              </a:ln>
            </c:spPr>
          </c:marker>
          <c:xVal>
            <c:numRef>
              <c:f>Grayscale!$F$5</c:f>
              <c:numCache>
                <c:formatCode>0.000</c:formatCode>
                <c:ptCount val="1"/>
              </c:numCache>
            </c:numRef>
          </c:xVal>
          <c:yVal>
            <c:numRef>
              <c:f>Grayscale!$G$5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3E9-4D27-9E4F-EC09F43B0555}"/>
            </c:ext>
          </c:extLst>
        </c:ser>
        <c:ser>
          <c:idx val="39"/>
          <c:order val="36"/>
          <c:tx>
            <c:v>B80</c:v>
          </c:tx>
          <c:marker>
            <c:symbol val="circle"/>
            <c:size val="2"/>
            <c:spPr>
              <a:solidFill>
                <a:srgbClr val="505050"/>
              </a:solidFill>
              <a:ln>
                <a:noFill/>
              </a:ln>
            </c:spPr>
          </c:marker>
          <c:xVal>
            <c:numRef>
              <c:f>Grayscale!$F$6</c:f>
              <c:numCache>
                <c:formatCode>0.000</c:formatCode>
                <c:ptCount val="1"/>
              </c:numCache>
            </c:numRef>
          </c:xVal>
          <c:yVal>
            <c:numRef>
              <c:f>Grayscale!$G$6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3E9-4D27-9E4F-EC09F43B0555}"/>
            </c:ext>
          </c:extLst>
        </c:ser>
        <c:ser>
          <c:idx val="40"/>
          <c:order val="37"/>
          <c:tx>
            <c:v>B96</c:v>
          </c:tx>
          <c:marker>
            <c:symbol val="circle"/>
            <c:size val="2"/>
            <c:spPr>
              <a:solidFill>
                <a:srgbClr val="606060"/>
              </a:solidFill>
              <a:ln>
                <a:noFill/>
              </a:ln>
            </c:spPr>
          </c:marker>
          <c:xVal>
            <c:numRef>
              <c:f>Grayscale!$F$7</c:f>
              <c:numCache>
                <c:formatCode>0.000</c:formatCode>
                <c:ptCount val="1"/>
              </c:numCache>
            </c:numRef>
          </c:xVal>
          <c:yVal>
            <c:numRef>
              <c:f>Grayscale!$G$7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3E9-4D27-9E4F-EC09F43B0555}"/>
            </c:ext>
          </c:extLst>
        </c:ser>
        <c:ser>
          <c:idx val="41"/>
          <c:order val="38"/>
          <c:tx>
            <c:v>B112</c:v>
          </c:tx>
          <c:marker>
            <c:symbol val="circle"/>
            <c:size val="2"/>
            <c:spPr>
              <a:solidFill>
                <a:srgbClr val="707070"/>
              </a:solidFill>
            </c:spPr>
          </c:marker>
          <c:xVal>
            <c:numRef>
              <c:f>Grayscale!$F$8</c:f>
              <c:numCache>
                <c:formatCode>0.000</c:formatCode>
                <c:ptCount val="1"/>
              </c:numCache>
            </c:numRef>
          </c:xVal>
          <c:yVal>
            <c:numRef>
              <c:f>Grayscale!$G$8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3E9-4D27-9E4F-EC09F43B0555}"/>
            </c:ext>
          </c:extLst>
        </c:ser>
        <c:ser>
          <c:idx val="42"/>
          <c:order val="39"/>
          <c:tx>
            <c:v>B128</c:v>
          </c:tx>
          <c:marker>
            <c:symbol val="circle"/>
            <c:size val="2"/>
            <c:spPr>
              <a:solidFill>
                <a:srgbClr val="808080"/>
              </a:solidFill>
              <a:ln>
                <a:noFill/>
              </a:ln>
            </c:spPr>
          </c:marker>
          <c:xVal>
            <c:numRef>
              <c:f>Grayscale!$F$9</c:f>
              <c:numCache>
                <c:formatCode>0.000</c:formatCode>
                <c:ptCount val="1"/>
              </c:numCache>
            </c:numRef>
          </c:xVal>
          <c:yVal>
            <c:numRef>
              <c:f>Grayscale!$G$9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3E9-4D27-9E4F-EC09F43B0555}"/>
            </c:ext>
          </c:extLst>
        </c:ser>
        <c:ser>
          <c:idx val="43"/>
          <c:order val="40"/>
          <c:tx>
            <c:v>B144</c:v>
          </c:tx>
          <c:marker>
            <c:symbol val="circle"/>
            <c:size val="2"/>
            <c:spPr>
              <a:solidFill>
                <a:srgbClr val="909090"/>
              </a:solidFill>
              <a:ln>
                <a:noFill/>
              </a:ln>
            </c:spPr>
          </c:marker>
          <c:xVal>
            <c:numRef>
              <c:f>Grayscale!$F$10</c:f>
              <c:numCache>
                <c:formatCode>0.000</c:formatCode>
                <c:ptCount val="1"/>
              </c:numCache>
            </c:numRef>
          </c:xVal>
          <c:yVal>
            <c:numRef>
              <c:f>Grayscale!$G$10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3E9-4D27-9E4F-EC09F43B0555}"/>
            </c:ext>
          </c:extLst>
        </c:ser>
        <c:ser>
          <c:idx val="44"/>
          <c:order val="41"/>
          <c:tx>
            <c:v>B160</c:v>
          </c:tx>
          <c:marker>
            <c:symbol val="circle"/>
            <c:size val="2"/>
            <c:spPr>
              <a:solidFill>
                <a:srgbClr val="A0A0A0"/>
              </a:solidFill>
              <a:ln>
                <a:noFill/>
              </a:ln>
            </c:spPr>
          </c:marker>
          <c:xVal>
            <c:numRef>
              <c:f>Grayscale!$F$11</c:f>
              <c:numCache>
                <c:formatCode>0.000</c:formatCode>
                <c:ptCount val="1"/>
              </c:numCache>
            </c:numRef>
          </c:xVal>
          <c:yVal>
            <c:numRef>
              <c:f>Grayscale!$G$11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3E9-4D27-9E4F-EC09F43B0555}"/>
            </c:ext>
          </c:extLst>
        </c:ser>
        <c:ser>
          <c:idx val="45"/>
          <c:order val="42"/>
          <c:tx>
            <c:v>B176</c:v>
          </c:tx>
          <c:marker>
            <c:symbol val="circle"/>
            <c:size val="2"/>
            <c:spPr>
              <a:solidFill>
                <a:srgbClr val="B0B0B0"/>
              </a:solidFill>
              <a:ln>
                <a:noFill/>
              </a:ln>
            </c:spPr>
          </c:marker>
          <c:xVal>
            <c:numRef>
              <c:f>Grayscale!$F$12</c:f>
              <c:numCache>
                <c:formatCode>0.000</c:formatCode>
                <c:ptCount val="1"/>
              </c:numCache>
            </c:numRef>
          </c:xVal>
          <c:yVal>
            <c:numRef>
              <c:f>Grayscale!$G$12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3E9-4D27-9E4F-EC09F43B0555}"/>
            </c:ext>
          </c:extLst>
        </c:ser>
        <c:ser>
          <c:idx val="46"/>
          <c:order val="43"/>
          <c:tx>
            <c:v>B192</c:v>
          </c:tx>
          <c:marker>
            <c:symbol val="circle"/>
            <c:size val="2"/>
            <c:spPr>
              <a:solidFill>
                <a:srgbClr val="C0C0C0"/>
              </a:solidFill>
              <a:ln>
                <a:noFill/>
              </a:ln>
            </c:spPr>
          </c:marker>
          <c:xVal>
            <c:numRef>
              <c:f>Grayscale!$F$13</c:f>
              <c:numCache>
                <c:formatCode>0.000</c:formatCode>
                <c:ptCount val="1"/>
              </c:numCache>
            </c:numRef>
          </c:xVal>
          <c:yVal>
            <c:numRef>
              <c:f>Grayscale!$G$13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3E9-4D27-9E4F-EC09F43B0555}"/>
            </c:ext>
          </c:extLst>
        </c:ser>
        <c:ser>
          <c:idx val="47"/>
          <c:order val="44"/>
          <c:tx>
            <c:v>B208</c:v>
          </c:tx>
          <c:marker>
            <c:symbol val="circle"/>
            <c:size val="2"/>
            <c:spPr>
              <a:solidFill>
                <a:srgbClr val="D0D0D0"/>
              </a:solidFill>
              <a:ln>
                <a:noFill/>
              </a:ln>
            </c:spPr>
          </c:marker>
          <c:xVal>
            <c:numRef>
              <c:f>Grayscale!$F$14</c:f>
              <c:numCache>
                <c:formatCode>0.000</c:formatCode>
                <c:ptCount val="1"/>
              </c:numCache>
            </c:numRef>
          </c:xVal>
          <c:yVal>
            <c:numRef>
              <c:f>Grayscale!$G$14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3E9-4D27-9E4F-EC09F43B0555}"/>
            </c:ext>
          </c:extLst>
        </c:ser>
        <c:ser>
          <c:idx val="48"/>
          <c:order val="45"/>
          <c:tx>
            <c:v>B224</c:v>
          </c:tx>
          <c:marker>
            <c:symbol val="circle"/>
            <c:size val="2"/>
            <c:spPr>
              <a:solidFill>
                <a:srgbClr val="E0E0E0"/>
              </a:solidFill>
              <a:ln>
                <a:noFill/>
              </a:ln>
            </c:spPr>
          </c:marker>
          <c:xVal>
            <c:numRef>
              <c:f>Grayscale!$F$15</c:f>
              <c:numCache>
                <c:formatCode>0.000</c:formatCode>
                <c:ptCount val="1"/>
              </c:numCache>
            </c:numRef>
          </c:xVal>
          <c:yVal>
            <c:numRef>
              <c:f>Grayscale!$G$15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3E9-4D27-9E4F-EC09F43B0555}"/>
            </c:ext>
          </c:extLst>
        </c:ser>
        <c:ser>
          <c:idx val="49"/>
          <c:order val="46"/>
          <c:tx>
            <c:v>B240</c:v>
          </c:tx>
          <c:marker>
            <c:symbol val="circle"/>
            <c:size val="2"/>
            <c:spPr>
              <a:solidFill>
                <a:srgbClr val="F0F0F0"/>
              </a:solidFill>
              <a:ln>
                <a:noFill/>
              </a:ln>
            </c:spPr>
          </c:marker>
          <c:xVal>
            <c:numRef>
              <c:f>Grayscale!$F$16</c:f>
              <c:numCache>
                <c:formatCode>0.000</c:formatCode>
                <c:ptCount val="1"/>
              </c:numCache>
            </c:numRef>
          </c:xVal>
          <c:yVal>
            <c:numRef>
              <c:f>Grayscale!$G$16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3E9-4D27-9E4F-EC09F43B0555}"/>
            </c:ext>
          </c:extLst>
        </c:ser>
        <c:ser>
          <c:idx val="50"/>
          <c:order val="47"/>
          <c:tx>
            <c:v>B256</c:v>
          </c:tx>
          <c:marker>
            <c:symbol val="circle"/>
            <c:size val="2"/>
            <c:spPr>
              <a:solidFill>
                <a:srgbClr val="FFFFFF"/>
              </a:solidFill>
              <a:ln>
                <a:noFill/>
              </a:ln>
            </c:spPr>
          </c:marker>
          <c:xVal>
            <c:numRef>
              <c:f>Grayscale!$F$17</c:f>
              <c:numCache>
                <c:formatCode>0.000</c:formatCode>
                <c:ptCount val="1"/>
              </c:numCache>
            </c:numRef>
          </c:xVal>
          <c:yVal>
            <c:numRef>
              <c:f>Grayscale!$G$17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3E9-4D27-9E4F-EC09F43B0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87656"/>
        <c:axId val="189990008"/>
        <c:extLst/>
      </c:scatterChart>
      <c:valAx>
        <c:axId val="189987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/>
                  <a:t>x</a:t>
                </a:r>
              </a:p>
            </c:rich>
          </c:tx>
          <c:layout>
            <c:manualLayout>
              <c:xMode val="edge"/>
              <c:yMode val="edge"/>
              <c:x val="0.54562080257720136"/>
              <c:y val="0.94700894222795751"/>
            </c:manualLayout>
          </c:layout>
          <c:overlay val="0"/>
          <c:spPr>
            <a:noFill/>
            <a:ln w="25400">
              <a:noFill/>
            </a:ln>
          </c:spPr>
        </c:title>
        <c:numFmt formatCode="0.0_);[Red]\(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TW"/>
          </a:p>
        </c:txPr>
        <c:crossAx val="189990008"/>
        <c:crosses val="autoZero"/>
        <c:crossBetween val="midCat"/>
        <c:majorUnit val="0.1"/>
      </c:valAx>
      <c:valAx>
        <c:axId val="189990008"/>
        <c:scaling>
          <c:orientation val="minMax"/>
          <c:max val="0.9"/>
        </c:scaling>
        <c:delete val="0"/>
        <c:axPos val="l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/>
                  <a:t>y</a:t>
                </a:r>
              </a:p>
            </c:rich>
          </c:tx>
          <c:layout>
            <c:manualLayout>
              <c:xMode val="edge"/>
              <c:yMode val="edge"/>
              <c:x val="3.8321193492044159E-2"/>
              <c:y val="0.47692327595956818"/>
            </c:manualLayout>
          </c:layout>
          <c:overlay val="0"/>
          <c:spPr>
            <a:noFill/>
            <a:ln w="25400">
              <a:noFill/>
            </a:ln>
          </c:spPr>
        </c:title>
        <c:numFmt formatCode="0.0_);[Red]\(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TW"/>
          </a:p>
        </c:txPr>
        <c:crossAx val="189987656"/>
        <c:crosses val="autoZero"/>
        <c:crossBetween val="midCat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G</a:t>
            </a:r>
            <a:endParaRPr lang="zh-TW" altLang="en-US">
              <a:solidFill>
                <a:srgbClr val="00B05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Grayscale!$A$2</c:f>
              <c:strCache>
                <c:ptCount val="1"/>
                <c:pt idx="0">
                  <c:v>16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1000"/>
              </a:solidFill>
              <a:ln w="9525">
                <a:noFill/>
              </a:ln>
              <a:effectLst/>
            </c:spPr>
          </c:marker>
          <c:xVal>
            <c:numRef>
              <c:f>Grayscale!$D$2</c:f>
              <c:numCache>
                <c:formatCode>0.000</c:formatCode>
                <c:ptCount val="1"/>
              </c:numCache>
            </c:numRef>
          </c:xVal>
          <c:yVal>
            <c:numRef>
              <c:f>Grayscale!$E$2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67-4B5D-B894-80D9B6B054E7}"/>
            </c:ext>
          </c:extLst>
        </c:ser>
        <c:ser>
          <c:idx val="2"/>
          <c:order val="1"/>
          <c:tx>
            <c:strRef>
              <c:f>Grayscale!$A$3</c:f>
              <c:strCache>
                <c:ptCount val="1"/>
                <c:pt idx="0">
                  <c:v>32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2000"/>
              </a:solidFill>
              <a:ln w="9525">
                <a:noFill/>
              </a:ln>
              <a:effectLst/>
            </c:spPr>
          </c:marker>
          <c:xVal>
            <c:numRef>
              <c:f>Grayscale!$D$3</c:f>
              <c:numCache>
                <c:formatCode>0.000</c:formatCode>
                <c:ptCount val="1"/>
              </c:numCache>
            </c:numRef>
          </c:xVal>
          <c:yVal>
            <c:numRef>
              <c:f>Grayscale!$E$3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67-4B5D-B894-80D9B6B054E7}"/>
            </c:ext>
          </c:extLst>
        </c:ser>
        <c:ser>
          <c:idx val="3"/>
          <c:order val="2"/>
          <c:tx>
            <c:strRef>
              <c:f>Grayscale!$A$4</c:f>
              <c:strCache>
                <c:ptCount val="1"/>
                <c:pt idx="0">
                  <c:v>48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3000"/>
              </a:solidFill>
              <a:ln w="9525">
                <a:noFill/>
              </a:ln>
              <a:effectLst/>
            </c:spPr>
          </c:marker>
          <c:xVal>
            <c:numRef>
              <c:f>Grayscale!$D$4</c:f>
              <c:numCache>
                <c:formatCode>0.000</c:formatCode>
                <c:ptCount val="1"/>
              </c:numCache>
            </c:numRef>
          </c:xVal>
          <c:yVal>
            <c:numRef>
              <c:f>Grayscale!$E$4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67-4B5D-B894-80D9B6B054E7}"/>
            </c:ext>
          </c:extLst>
        </c:ser>
        <c:ser>
          <c:idx val="4"/>
          <c:order val="3"/>
          <c:tx>
            <c:strRef>
              <c:f>Grayscale!$A$5</c:f>
              <c:strCache>
                <c:ptCount val="1"/>
                <c:pt idx="0">
                  <c:v>64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4000"/>
              </a:solidFill>
              <a:ln w="9525">
                <a:noFill/>
              </a:ln>
              <a:effectLst/>
            </c:spPr>
          </c:marker>
          <c:xVal>
            <c:numRef>
              <c:f>Grayscale!$D$5</c:f>
              <c:numCache>
                <c:formatCode>0.000</c:formatCode>
                <c:ptCount val="1"/>
              </c:numCache>
            </c:numRef>
          </c:xVal>
          <c:yVal>
            <c:numRef>
              <c:f>Grayscale!$E$5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67-4B5D-B894-80D9B6B054E7}"/>
            </c:ext>
          </c:extLst>
        </c:ser>
        <c:ser>
          <c:idx val="5"/>
          <c:order val="4"/>
          <c:tx>
            <c:strRef>
              <c:f>Grayscale!$A$6</c:f>
              <c:strCache>
                <c:ptCount val="1"/>
                <c:pt idx="0">
                  <c:v>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5000"/>
              </a:solidFill>
              <a:ln w="9525">
                <a:noFill/>
              </a:ln>
              <a:effectLst/>
            </c:spPr>
          </c:marker>
          <c:xVal>
            <c:numRef>
              <c:f>Grayscale!$D$6</c:f>
              <c:numCache>
                <c:formatCode>0.000</c:formatCode>
                <c:ptCount val="1"/>
              </c:numCache>
            </c:numRef>
          </c:xVal>
          <c:yVal>
            <c:numRef>
              <c:f>Grayscale!$E$6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67-4B5D-B894-80D9B6B054E7}"/>
            </c:ext>
          </c:extLst>
        </c:ser>
        <c:ser>
          <c:idx val="6"/>
          <c:order val="5"/>
          <c:tx>
            <c:strRef>
              <c:f>Grayscale!$A$7</c:f>
              <c:strCache>
                <c:ptCount val="1"/>
                <c:pt idx="0">
                  <c:v>96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6000"/>
              </a:solidFill>
              <a:ln w="9525">
                <a:noFill/>
              </a:ln>
              <a:effectLst/>
            </c:spPr>
          </c:marker>
          <c:xVal>
            <c:numRef>
              <c:f>Grayscale!$D$7</c:f>
              <c:numCache>
                <c:formatCode>0.000</c:formatCode>
                <c:ptCount val="1"/>
              </c:numCache>
            </c:numRef>
          </c:xVal>
          <c:yVal>
            <c:numRef>
              <c:f>Grayscale!$E$7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67-4B5D-B894-80D9B6B054E7}"/>
            </c:ext>
          </c:extLst>
        </c:ser>
        <c:ser>
          <c:idx val="7"/>
          <c:order val="6"/>
          <c:tx>
            <c:strRef>
              <c:f>Grayscale!$A$8</c:f>
              <c:strCache>
                <c:ptCount val="1"/>
                <c:pt idx="0">
                  <c:v>112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00"/>
              </a:solidFill>
              <a:ln w="9525">
                <a:noFill/>
              </a:ln>
              <a:effectLst/>
            </c:spPr>
          </c:marker>
          <c:xVal>
            <c:numRef>
              <c:f>Grayscale!$D$8</c:f>
              <c:numCache>
                <c:formatCode>0.000</c:formatCode>
                <c:ptCount val="1"/>
              </c:numCache>
            </c:numRef>
          </c:xVal>
          <c:yVal>
            <c:numRef>
              <c:f>Grayscale!$E$8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A67-4B5D-B894-80D9B6B054E7}"/>
            </c:ext>
          </c:extLst>
        </c:ser>
        <c:ser>
          <c:idx val="8"/>
          <c:order val="7"/>
          <c:tx>
            <c:strRef>
              <c:f>Grayscale!$A$9</c:f>
              <c:strCache>
                <c:ptCount val="1"/>
                <c:pt idx="0">
                  <c:v>128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8000"/>
              </a:solidFill>
              <a:ln w="9525">
                <a:noFill/>
              </a:ln>
              <a:effectLst/>
            </c:spPr>
          </c:marker>
          <c:xVal>
            <c:numRef>
              <c:f>Grayscale!$D$9</c:f>
              <c:numCache>
                <c:formatCode>0.000</c:formatCode>
                <c:ptCount val="1"/>
              </c:numCache>
            </c:numRef>
          </c:xVal>
          <c:yVal>
            <c:numRef>
              <c:f>Grayscale!$E$9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A67-4B5D-B894-80D9B6B054E7}"/>
            </c:ext>
          </c:extLst>
        </c:ser>
        <c:ser>
          <c:idx val="9"/>
          <c:order val="8"/>
          <c:tx>
            <c:strRef>
              <c:f>Grayscale!$A$10</c:f>
              <c:strCache>
                <c:ptCount val="1"/>
                <c:pt idx="0">
                  <c:v>144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9000"/>
              </a:solidFill>
              <a:ln w="9525">
                <a:noFill/>
              </a:ln>
              <a:effectLst/>
            </c:spPr>
          </c:marker>
          <c:xVal>
            <c:numRef>
              <c:f>Grayscale!$D$10</c:f>
              <c:numCache>
                <c:formatCode>0.000</c:formatCode>
                <c:ptCount val="1"/>
              </c:numCache>
            </c:numRef>
          </c:xVal>
          <c:yVal>
            <c:numRef>
              <c:f>Grayscale!$E$10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A67-4B5D-B894-80D9B6B054E7}"/>
            </c:ext>
          </c:extLst>
        </c:ser>
        <c:ser>
          <c:idx val="10"/>
          <c:order val="9"/>
          <c:tx>
            <c:strRef>
              <c:f>Grayscale!$A$11</c:f>
              <c:strCache>
                <c:ptCount val="1"/>
                <c:pt idx="0">
                  <c:v>160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A000"/>
              </a:solidFill>
              <a:ln w="9525">
                <a:noFill/>
              </a:ln>
              <a:effectLst/>
            </c:spPr>
          </c:marker>
          <c:xVal>
            <c:numRef>
              <c:f>Grayscale!$D$11</c:f>
              <c:numCache>
                <c:formatCode>0.000</c:formatCode>
                <c:ptCount val="1"/>
              </c:numCache>
            </c:numRef>
          </c:xVal>
          <c:yVal>
            <c:numRef>
              <c:f>Grayscale!$E$11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A67-4B5D-B894-80D9B6B054E7}"/>
            </c:ext>
          </c:extLst>
        </c:ser>
        <c:ser>
          <c:idx val="11"/>
          <c:order val="10"/>
          <c:tx>
            <c:strRef>
              <c:f>Grayscale!$A$12</c:f>
              <c:strCache>
                <c:ptCount val="1"/>
                <c:pt idx="0">
                  <c:v>176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00"/>
              </a:solidFill>
              <a:ln w="9525">
                <a:noFill/>
              </a:ln>
              <a:effectLst/>
            </c:spPr>
          </c:marker>
          <c:xVal>
            <c:numRef>
              <c:f>Grayscale!$D$12</c:f>
              <c:numCache>
                <c:formatCode>0.000</c:formatCode>
                <c:ptCount val="1"/>
              </c:numCache>
            </c:numRef>
          </c:xVal>
          <c:yVal>
            <c:numRef>
              <c:f>Grayscale!$E$12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A67-4B5D-B894-80D9B6B054E7}"/>
            </c:ext>
          </c:extLst>
        </c:ser>
        <c:ser>
          <c:idx val="12"/>
          <c:order val="11"/>
          <c:tx>
            <c:strRef>
              <c:f>Grayscale!$A$13</c:f>
              <c:strCache>
                <c:ptCount val="1"/>
                <c:pt idx="0">
                  <c:v>192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C000"/>
              </a:solidFill>
              <a:ln w="9525">
                <a:noFill/>
              </a:ln>
              <a:effectLst/>
            </c:spPr>
          </c:marker>
          <c:xVal>
            <c:numRef>
              <c:f>Grayscale!$D$13</c:f>
              <c:numCache>
                <c:formatCode>0.000</c:formatCode>
                <c:ptCount val="1"/>
              </c:numCache>
            </c:numRef>
          </c:xVal>
          <c:yVal>
            <c:numRef>
              <c:f>Grayscale!$E$13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A67-4B5D-B894-80D9B6B054E7}"/>
            </c:ext>
          </c:extLst>
        </c:ser>
        <c:ser>
          <c:idx val="13"/>
          <c:order val="12"/>
          <c:tx>
            <c:strRef>
              <c:f>Grayscale!$A$14</c:f>
              <c:strCache>
                <c:ptCount val="1"/>
                <c:pt idx="0">
                  <c:v>208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D000"/>
              </a:solidFill>
              <a:ln w="9525">
                <a:noFill/>
              </a:ln>
              <a:effectLst/>
            </c:spPr>
          </c:marker>
          <c:xVal>
            <c:numRef>
              <c:f>Grayscale!$D$14</c:f>
              <c:numCache>
                <c:formatCode>0.000</c:formatCode>
                <c:ptCount val="1"/>
              </c:numCache>
            </c:numRef>
          </c:xVal>
          <c:yVal>
            <c:numRef>
              <c:f>Grayscale!$E$14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A67-4B5D-B894-80D9B6B054E7}"/>
            </c:ext>
          </c:extLst>
        </c:ser>
        <c:ser>
          <c:idx val="14"/>
          <c:order val="13"/>
          <c:tx>
            <c:strRef>
              <c:f>Grayscale!$A$15</c:f>
              <c:strCache>
                <c:ptCount val="1"/>
                <c:pt idx="0">
                  <c:v>224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E000"/>
              </a:solidFill>
              <a:ln w="9525">
                <a:noFill/>
              </a:ln>
              <a:effectLst/>
            </c:spPr>
          </c:marker>
          <c:xVal>
            <c:numRef>
              <c:f>Grayscale!$D$15</c:f>
              <c:numCache>
                <c:formatCode>0.000</c:formatCode>
                <c:ptCount val="1"/>
              </c:numCache>
            </c:numRef>
          </c:xVal>
          <c:yVal>
            <c:numRef>
              <c:f>Grayscale!$E$15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A67-4B5D-B894-80D9B6B054E7}"/>
            </c:ext>
          </c:extLst>
        </c:ser>
        <c:ser>
          <c:idx val="15"/>
          <c:order val="14"/>
          <c:tx>
            <c:strRef>
              <c:f>Grayscale!$A$16</c:f>
              <c:strCache>
                <c:ptCount val="1"/>
                <c:pt idx="0">
                  <c:v>240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F000"/>
              </a:solidFill>
              <a:ln w="9525">
                <a:noFill/>
              </a:ln>
              <a:effectLst/>
            </c:spPr>
          </c:marker>
          <c:xVal>
            <c:numRef>
              <c:f>Grayscale!$D$16</c:f>
              <c:numCache>
                <c:formatCode>0.000</c:formatCode>
                <c:ptCount val="1"/>
              </c:numCache>
            </c:numRef>
          </c:xVal>
          <c:yVal>
            <c:numRef>
              <c:f>Grayscale!$E$16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A67-4B5D-B894-80D9B6B054E7}"/>
            </c:ext>
          </c:extLst>
        </c:ser>
        <c:ser>
          <c:idx val="16"/>
          <c:order val="15"/>
          <c:tx>
            <c:strRef>
              <c:f>Grayscale!$A$17</c:f>
              <c:strCache>
                <c:ptCount val="1"/>
                <c:pt idx="0">
                  <c:v>256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xVal>
            <c:numRef>
              <c:f>Grayscale!$D$17</c:f>
              <c:numCache>
                <c:formatCode>0.000</c:formatCode>
                <c:ptCount val="1"/>
              </c:numCache>
            </c:numRef>
          </c:xVal>
          <c:yVal>
            <c:numRef>
              <c:f>Grayscale!$E$17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A67-4B5D-B894-80D9B6B054E7}"/>
            </c:ext>
          </c:extLst>
        </c:ser>
        <c:ser>
          <c:idx val="0"/>
          <c:order val="16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ColorSpace!$G$5:$G$6</c:f>
              <c:numCache>
                <c:formatCode>0.0000_ </c:formatCode>
                <c:ptCount val="2"/>
                <c:pt idx="0">
                  <c:v>0.17886481444489577</c:v>
                </c:pt>
                <c:pt idx="1">
                  <c:v>0.18486481444489578</c:v>
                </c:pt>
              </c:numCache>
            </c:numRef>
          </c:xVal>
          <c:yVal>
            <c:numRef>
              <c:f>(ColorSpace!$H$5,ColorSpace!$H$5)</c:f>
              <c:numCache>
                <c:formatCode>0.0000_ </c:formatCode>
                <c:ptCount val="2"/>
                <c:pt idx="0">
                  <c:v>0.74769483771125111</c:v>
                </c:pt>
                <c:pt idx="1">
                  <c:v>0.74769483771125111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A67-4B5D-B894-80D9B6B054E7}"/>
            </c:ext>
          </c:extLst>
        </c:ser>
        <c:ser>
          <c:idx val="17"/>
          <c:order val="17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ColorSpace!$G$5:$G$6</c:f>
              <c:numCache>
                <c:formatCode>0.0000_ </c:formatCode>
                <c:ptCount val="2"/>
                <c:pt idx="0">
                  <c:v>0.17886481444489577</c:v>
                </c:pt>
                <c:pt idx="1">
                  <c:v>0.18486481444489578</c:v>
                </c:pt>
              </c:numCache>
            </c:numRef>
          </c:xVal>
          <c:yVal>
            <c:numRef>
              <c:f>(ColorSpace!$H$6,ColorSpace!$H$6)</c:f>
              <c:numCache>
                <c:formatCode>0.0000_ </c:formatCode>
                <c:ptCount val="2"/>
                <c:pt idx="0">
                  <c:v>0.75369483771125112</c:v>
                </c:pt>
                <c:pt idx="1">
                  <c:v>0.75369483771125112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A67-4B5D-B894-80D9B6B054E7}"/>
            </c:ext>
          </c:extLst>
        </c:ser>
        <c:ser>
          <c:idx val="18"/>
          <c:order val="18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(ColorSpace!$G$5,ColorSpace!$G$5)</c:f>
              <c:numCache>
                <c:formatCode>0.0000_ </c:formatCode>
                <c:ptCount val="2"/>
                <c:pt idx="0">
                  <c:v>0.17886481444489577</c:v>
                </c:pt>
                <c:pt idx="1">
                  <c:v>0.17886481444489577</c:v>
                </c:pt>
              </c:numCache>
            </c:numRef>
          </c:xVal>
          <c:yVal>
            <c:numRef>
              <c:f>ColorSpace!$H$5:$H$6</c:f>
              <c:numCache>
                <c:formatCode>0.0000_ </c:formatCode>
                <c:ptCount val="2"/>
                <c:pt idx="0">
                  <c:v>0.74769483771125111</c:v>
                </c:pt>
                <c:pt idx="1">
                  <c:v>0.75369483771125112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A67-4B5D-B894-80D9B6B054E7}"/>
            </c:ext>
          </c:extLst>
        </c:ser>
        <c:ser>
          <c:idx val="19"/>
          <c:order val="19"/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(ColorSpace!$G$6,ColorSpace!$G$6)</c:f>
              <c:numCache>
                <c:formatCode>0.0000_ </c:formatCode>
                <c:ptCount val="2"/>
                <c:pt idx="0">
                  <c:v>0.18486481444489578</c:v>
                </c:pt>
                <c:pt idx="1">
                  <c:v>0.18486481444489578</c:v>
                </c:pt>
              </c:numCache>
            </c:numRef>
          </c:xVal>
          <c:yVal>
            <c:numRef>
              <c:f>ColorSpace!$H$5:$H$6</c:f>
              <c:numCache>
                <c:formatCode>0.0000_ </c:formatCode>
                <c:ptCount val="2"/>
                <c:pt idx="0">
                  <c:v>0.74769483771125111</c:v>
                </c:pt>
                <c:pt idx="1">
                  <c:v>0.75369483771125112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A67-4B5D-B894-80D9B6B05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88048"/>
        <c:axId val="189989224"/>
      </c:scatterChart>
      <c:valAx>
        <c:axId val="18998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989224"/>
        <c:crosses val="autoZero"/>
        <c:crossBetween val="midCat"/>
      </c:valAx>
      <c:valAx>
        <c:axId val="189989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988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R</a:t>
            </a:r>
            <a:endParaRPr lang="zh-TW" alt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Grayscale!$A$2</c:f>
              <c:strCache>
                <c:ptCount val="1"/>
                <c:pt idx="0">
                  <c:v>16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100000"/>
              </a:solidFill>
              <a:ln w="9525">
                <a:noFill/>
              </a:ln>
              <a:effectLst/>
            </c:spPr>
          </c:marker>
          <c:xVal>
            <c:numRef>
              <c:f>Grayscale!$B$2</c:f>
              <c:numCache>
                <c:formatCode>0.000</c:formatCode>
                <c:ptCount val="1"/>
              </c:numCache>
            </c:numRef>
          </c:xVal>
          <c:yVal>
            <c:numRef>
              <c:f>Grayscale!$C$2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C7-4FC9-A52A-E572E8C30721}"/>
            </c:ext>
          </c:extLst>
        </c:ser>
        <c:ser>
          <c:idx val="2"/>
          <c:order val="1"/>
          <c:tx>
            <c:strRef>
              <c:f>Grayscale!$A$3</c:f>
              <c:strCache>
                <c:ptCount val="1"/>
                <c:pt idx="0">
                  <c:v>32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200000"/>
              </a:solidFill>
              <a:ln w="9525">
                <a:noFill/>
              </a:ln>
              <a:effectLst/>
            </c:spPr>
          </c:marker>
          <c:xVal>
            <c:numRef>
              <c:f>Grayscale!$B$3</c:f>
              <c:numCache>
                <c:formatCode>0.000</c:formatCode>
                <c:ptCount val="1"/>
              </c:numCache>
            </c:numRef>
          </c:xVal>
          <c:yVal>
            <c:numRef>
              <c:f>Grayscale!$C$3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C7-4FC9-A52A-E572E8C30721}"/>
            </c:ext>
          </c:extLst>
        </c:ser>
        <c:ser>
          <c:idx val="3"/>
          <c:order val="2"/>
          <c:tx>
            <c:strRef>
              <c:f>Grayscale!$A$4</c:f>
              <c:strCache>
                <c:ptCount val="1"/>
                <c:pt idx="0">
                  <c:v>48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300000"/>
              </a:solidFill>
              <a:ln w="9525">
                <a:noFill/>
              </a:ln>
              <a:effectLst/>
            </c:spPr>
          </c:marker>
          <c:xVal>
            <c:numRef>
              <c:f>Grayscale!$B$4</c:f>
              <c:numCache>
                <c:formatCode>0.000</c:formatCode>
                <c:ptCount val="1"/>
              </c:numCache>
            </c:numRef>
          </c:xVal>
          <c:yVal>
            <c:numRef>
              <c:f>Grayscale!$C$4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C7-4FC9-A52A-E572E8C30721}"/>
            </c:ext>
          </c:extLst>
        </c:ser>
        <c:ser>
          <c:idx val="4"/>
          <c:order val="3"/>
          <c:tx>
            <c:strRef>
              <c:f>Grayscale!$A$5</c:f>
              <c:strCache>
                <c:ptCount val="1"/>
                <c:pt idx="0">
                  <c:v>64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400000"/>
              </a:solidFill>
              <a:ln w="9525">
                <a:noFill/>
              </a:ln>
              <a:effectLst/>
            </c:spPr>
          </c:marker>
          <c:xVal>
            <c:numRef>
              <c:f>Grayscale!$B$5</c:f>
              <c:numCache>
                <c:formatCode>0.000</c:formatCode>
                <c:ptCount val="1"/>
              </c:numCache>
            </c:numRef>
          </c:xVal>
          <c:yVal>
            <c:numRef>
              <c:f>Grayscale!$C$5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C7-4FC9-A52A-E572E8C30721}"/>
            </c:ext>
          </c:extLst>
        </c:ser>
        <c:ser>
          <c:idx val="5"/>
          <c:order val="4"/>
          <c:tx>
            <c:strRef>
              <c:f>Grayscale!$A$6</c:f>
              <c:strCache>
                <c:ptCount val="1"/>
                <c:pt idx="0">
                  <c:v>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500000"/>
              </a:solidFill>
              <a:ln w="9525">
                <a:noFill/>
              </a:ln>
              <a:effectLst/>
            </c:spPr>
          </c:marker>
          <c:xVal>
            <c:numRef>
              <c:f>Grayscale!$B$6</c:f>
              <c:numCache>
                <c:formatCode>0.000</c:formatCode>
                <c:ptCount val="1"/>
              </c:numCache>
            </c:numRef>
          </c:xVal>
          <c:yVal>
            <c:numRef>
              <c:f>Grayscale!$C$6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C7-4FC9-A52A-E572E8C30721}"/>
            </c:ext>
          </c:extLst>
        </c:ser>
        <c:ser>
          <c:idx val="6"/>
          <c:order val="5"/>
          <c:tx>
            <c:strRef>
              <c:f>Grayscale!$A$7</c:f>
              <c:strCache>
                <c:ptCount val="1"/>
                <c:pt idx="0">
                  <c:v>96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600000"/>
              </a:solidFill>
              <a:ln w="9525">
                <a:noFill/>
              </a:ln>
              <a:effectLst/>
            </c:spPr>
          </c:marker>
          <c:xVal>
            <c:numRef>
              <c:f>Grayscale!$B$7</c:f>
              <c:numCache>
                <c:formatCode>0.000</c:formatCode>
                <c:ptCount val="1"/>
              </c:numCache>
            </c:numRef>
          </c:xVal>
          <c:yVal>
            <c:numRef>
              <c:f>Grayscale!$C$7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C7-4FC9-A52A-E572E8C30721}"/>
            </c:ext>
          </c:extLst>
        </c:ser>
        <c:ser>
          <c:idx val="7"/>
          <c:order val="6"/>
          <c:tx>
            <c:strRef>
              <c:f>Grayscale!$A$8</c:f>
              <c:strCache>
                <c:ptCount val="1"/>
                <c:pt idx="0">
                  <c:v>112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0000"/>
              </a:solidFill>
              <a:ln w="9525">
                <a:noFill/>
              </a:ln>
              <a:effectLst/>
            </c:spPr>
          </c:marker>
          <c:xVal>
            <c:numRef>
              <c:f>Grayscale!$B$8</c:f>
              <c:numCache>
                <c:formatCode>0.000</c:formatCode>
                <c:ptCount val="1"/>
              </c:numCache>
            </c:numRef>
          </c:xVal>
          <c:yVal>
            <c:numRef>
              <c:f>Grayscale!$C$8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C7-4FC9-A52A-E572E8C30721}"/>
            </c:ext>
          </c:extLst>
        </c:ser>
        <c:ser>
          <c:idx val="8"/>
          <c:order val="7"/>
          <c:tx>
            <c:strRef>
              <c:f>Grayscale!$A$9</c:f>
              <c:strCache>
                <c:ptCount val="1"/>
                <c:pt idx="0">
                  <c:v>128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800000"/>
              </a:solidFill>
              <a:ln w="9525">
                <a:noFill/>
              </a:ln>
              <a:effectLst/>
            </c:spPr>
          </c:marker>
          <c:xVal>
            <c:numRef>
              <c:f>Grayscale!$B$9</c:f>
              <c:numCache>
                <c:formatCode>0.000</c:formatCode>
                <c:ptCount val="1"/>
              </c:numCache>
            </c:numRef>
          </c:xVal>
          <c:yVal>
            <c:numRef>
              <c:f>Grayscale!$C$9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C7-4FC9-A52A-E572E8C30721}"/>
            </c:ext>
          </c:extLst>
        </c:ser>
        <c:ser>
          <c:idx val="9"/>
          <c:order val="8"/>
          <c:tx>
            <c:strRef>
              <c:f>Grayscale!$A$10</c:f>
              <c:strCache>
                <c:ptCount val="1"/>
                <c:pt idx="0">
                  <c:v>144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900000"/>
              </a:solidFill>
              <a:ln w="9525">
                <a:noFill/>
              </a:ln>
              <a:effectLst/>
            </c:spPr>
          </c:marker>
          <c:xVal>
            <c:numRef>
              <c:f>Grayscale!$B$10</c:f>
              <c:numCache>
                <c:formatCode>0.000</c:formatCode>
                <c:ptCount val="1"/>
              </c:numCache>
            </c:numRef>
          </c:xVal>
          <c:yVal>
            <c:numRef>
              <c:f>Grayscale!$C$10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C7-4FC9-A52A-E572E8C30721}"/>
            </c:ext>
          </c:extLst>
        </c:ser>
        <c:ser>
          <c:idx val="10"/>
          <c:order val="9"/>
          <c:tx>
            <c:strRef>
              <c:f>Grayscale!$A$11</c:f>
              <c:strCache>
                <c:ptCount val="1"/>
                <c:pt idx="0">
                  <c:v>160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A00000"/>
              </a:solidFill>
              <a:ln w="9525">
                <a:noFill/>
              </a:ln>
              <a:effectLst/>
            </c:spPr>
          </c:marker>
          <c:xVal>
            <c:numRef>
              <c:f>Grayscale!$B$11</c:f>
              <c:numCache>
                <c:formatCode>0.000</c:formatCode>
                <c:ptCount val="1"/>
              </c:numCache>
            </c:numRef>
          </c:xVal>
          <c:yVal>
            <c:numRef>
              <c:f>Grayscale!$C$11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C7-4FC9-A52A-E572E8C30721}"/>
            </c:ext>
          </c:extLst>
        </c:ser>
        <c:ser>
          <c:idx val="11"/>
          <c:order val="10"/>
          <c:tx>
            <c:strRef>
              <c:f>Grayscale!$A$12</c:f>
              <c:strCache>
                <c:ptCount val="1"/>
                <c:pt idx="0">
                  <c:v>176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B00000"/>
              </a:solidFill>
              <a:ln w="9525">
                <a:noFill/>
              </a:ln>
              <a:effectLst/>
            </c:spPr>
          </c:marker>
          <c:xVal>
            <c:numRef>
              <c:f>Grayscale!$B$12</c:f>
              <c:numCache>
                <c:formatCode>0.000</c:formatCode>
                <c:ptCount val="1"/>
              </c:numCache>
            </c:numRef>
          </c:xVal>
          <c:yVal>
            <c:numRef>
              <c:f>Grayscale!$C$12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C7-4FC9-A52A-E572E8C30721}"/>
            </c:ext>
          </c:extLst>
        </c:ser>
        <c:ser>
          <c:idx val="12"/>
          <c:order val="11"/>
          <c:tx>
            <c:strRef>
              <c:f>Grayscale!$A$13</c:f>
              <c:strCache>
                <c:ptCount val="1"/>
                <c:pt idx="0">
                  <c:v>192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40000"/>
              </a:solidFill>
              <a:ln w="9525">
                <a:noFill/>
              </a:ln>
              <a:effectLst/>
            </c:spPr>
          </c:marker>
          <c:xVal>
            <c:numRef>
              <c:f>Grayscale!$B$13</c:f>
              <c:numCache>
                <c:formatCode>0.000</c:formatCode>
                <c:ptCount val="1"/>
              </c:numCache>
            </c:numRef>
          </c:xVal>
          <c:yVal>
            <c:numRef>
              <c:f>Grayscale!$C$13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C7-4FC9-A52A-E572E8C30721}"/>
            </c:ext>
          </c:extLst>
        </c:ser>
        <c:ser>
          <c:idx val="13"/>
          <c:order val="12"/>
          <c:tx>
            <c:strRef>
              <c:f>Grayscale!$A$14</c:f>
              <c:strCache>
                <c:ptCount val="1"/>
                <c:pt idx="0">
                  <c:v>208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D00000"/>
              </a:solidFill>
              <a:ln w="9525">
                <a:noFill/>
              </a:ln>
              <a:effectLst/>
            </c:spPr>
          </c:marker>
          <c:xVal>
            <c:numRef>
              <c:f>Grayscale!$B$14</c:f>
              <c:numCache>
                <c:formatCode>0.000</c:formatCode>
                <c:ptCount val="1"/>
              </c:numCache>
            </c:numRef>
          </c:xVal>
          <c:yVal>
            <c:numRef>
              <c:f>Grayscale!$C$14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C7-4FC9-A52A-E572E8C30721}"/>
            </c:ext>
          </c:extLst>
        </c:ser>
        <c:ser>
          <c:idx val="14"/>
          <c:order val="13"/>
          <c:tx>
            <c:strRef>
              <c:f>Grayscale!$A$15</c:f>
              <c:strCache>
                <c:ptCount val="1"/>
                <c:pt idx="0">
                  <c:v>224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E00000"/>
              </a:solidFill>
              <a:ln w="9525">
                <a:noFill/>
              </a:ln>
              <a:effectLst/>
            </c:spPr>
          </c:marker>
          <c:xVal>
            <c:numRef>
              <c:f>Grayscale!$B$15</c:f>
              <c:numCache>
                <c:formatCode>0.000</c:formatCode>
                <c:ptCount val="1"/>
              </c:numCache>
            </c:numRef>
          </c:xVal>
          <c:yVal>
            <c:numRef>
              <c:f>Grayscale!$C$15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C7-4FC9-A52A-E572E8C30721}"/>
            </c:ext>
          </c:extLst>
        </c:ser>
        <c:ser>
          <c:idx val="15"/>
          <c:order val="14"/>
          <c:tx>
            <c:strRef>
              <c:f>Grayscale!$A$16</c:f>
              <c:strCache>
                <c:ptCount val="1"/>
                <c:pt idx="0">
                  <c:v>240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00000"/>
              </a:solidFill>
              <a:ln w="9525">
                <a:noFill/>
              </a:ln>
              <a:effectLst/>
            </c:spPr>
          </c:marker>
          <c:xVal>
            <c:numRef>
              <c:f>Grayscale!$B$16</c:f>
              <c:numCache>
                <c:formatCode>0.000</c:formatCode>
                <c:ptCount val="1"/>
              </c:numCache>
            </c:numRef>
          </c:xVal>
          <c:yVal>
            <c:numRef>
              <c:f>Grayscale!$C$16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C7-4FC9-A52A-E572E8C30721}"/>
            </c:ext>
          </c:extLst>
        </c:ser>
        <c:ser>
          <c:idx val="16"/>
          <c:order val="15"/>
          <c:tx>
            <c:strRef>
              <c:f>Grayscale!$A$17</c:f>
              <c:strCache>
                <c:ptCount val="1"/>
                <c:pt idx="0">
                  <c:v>256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Grayscale!$B$17</c:f>
              <c:numCache>
                <c:formatCode>0.000</c:formatCode>
                <c:ptCount val="1"/>
              </c:numCache>
            </c:numRef>
          </c:xVal>
          <c:yVal>
            <c:numRef>
              <c:f>Grayscale!$C$17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C7-4FC9-A52A-E572E8C30721}"/>
            </c:ext>
          </c:extLst>
        </c:ser>
        <c:ser>
          <c:idx val="0"/>
          <c:order val="16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ColorSpace!$G$3:$G$4</c:f>
              <c:numCache>
                <c:formatCode>0.0000_ </c:formatCode>
                <c:ptCount val="2"/>
                <c:pt idx="0">
                  <c:v>0.69227114962932179</c:v>
                </c:pt>
                <c:pt idx="1">
                  <c:v>0.6982711496293218</c:v>
                </c:pt>
              </c:numCache>
            </c:numRef>
          </c:xVal>
          <c:yVal>
            <c:numRef>
              <c:f>(ColorSpace!$H$3,ColorSpace!$H$3)</c:f>
              <c:numCache>
                <c:formatCode>0.0000_ </c:formatCode>
                <c:ptCount val="2"/>
                <c:pt idx="0">
                  <c:v>0.30160663092842244</c:v>
                </c:pt>
                <c:pt idx="1">
                  <c:v>0.30160663092842244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C7-4FC9-A52A-E572E8C30721}"/>
            </c:ext>
          </c:extLst>
        </c:ser>
        <c:ser>
          <c:idx val="17"/>
          <c:order val="17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ColorSpace!$G$3:$G$4</c:f>
              <c:numCache>
                <c:formatCode>0.0000_ </c:formatCode>
                <c:ptCount val="2"/>
                <c:pt idx="0">
                  <c:v>0.69227114962932179</c:v>
                </c:pt>
                <c:pt idx="1">
                  <c:v>0.6982711496293218</c:v>
                </c:pt>
              </c:numCache>
            </c:numRef>
          </c:xVal>
          <c:yVal>
            <c:numRef>
              <c:f>(ColorSpace!$H$4,ColorSpace!$H$4)</c:f>
              <c:numCache>
                <c:formatCode>0.0000_ </c:formatCode>
                <c:ptCount val="2"/>
                <c:pt idx="0">
                  <c:v>0.30760663092842244</c:v>
                </c:pt>
                <c:pt idx="1">
                  <c:v>0.30760663092842244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3C7-4FC9-A52A-E572E8C30721}"/>
            </c:ext>
          </c:extLst>
        </c:ser>
        <c:ser>
          <c:idx val="18"/>
          <c:order val="18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(ColorSpace!$G$3,ColorSpace!$G$3)</c:f>
              <c:numCache>
                <c:formatCode>0.0000_ </c:formatCode>
                <c:ptCount val="2"/>
                <c:pt idx="0">
                  <c:v>0.69227114962932179</c:v>
                </c:pt>
                <c:pt idx="1">
                  <c:v>0.69227114962932179</c:v>
                </c:pt>
              </c:numCache>
            </c:numRef>
          </c:xVal>
          <c:yVal>
            <c:numRef>
              <c:f>ColorSpace!$H$3:$H$4</c:f>
              <c:numCache>
                <c:formatCode>0.0000_ </c:formatCode>
                <c:ptCount val="2"/>
                <c:pt idx="0">
                  <c:v>0.30160663092842244</c:v>
                </c:pt>
                <c:pt idx="1">
                  <c:v>0.30760663092842244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3C7-4FC9-A52A-E572E8C30721}"/>
            </c:ext>
          </c:extLst>
        </c:ser>
        <c:ser>
          <c:idx val="19"/>
          <c:order val="19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(ColorSpace!$G$4,ColorSpace!$G$4)</c:f>
              <c:numCache>
                <c:formatCode>0.0000_ </c:formatCode>
                <c:ptCount val="2"/>
                <c:pt idx="0">
                  <c:v>0.6982711496293218</c:v>
                </c:pt>
                <c:pt idx="1">
                  <c:v>0.6982711496293218</c:v>
                </c:pt>
              </c:numCache>
            </c:numRef>
          </c:xVal>
          <c:yVal>
            <c:numRef>
              <c:f>ColorSpace!$H$3:$H$4</c:f>
              <c:numCache>
                <c:formatCode>0.0000_ </c:formatCode>
                <c:ptCount val="2"/>
                <c:pt idx="0">
                  <c:v>0.30160663092842244</c:v>
                </c:pt>
                <c:pt idx="1">
                  <c:v>0.30760663092842244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3C7-4FC9-A52A-E572E8C30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91184"/>
        <c:axId val="189994320"/>
      </c:scatterChart>
      <c:valAx>
        <c:axId val="18999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994320"/>
        <c:crosses val="autoZero"/>
        <c:crossBetween val="midCat"/>
      </c:valAx>
      <c:valAx>
        <c:axId val="18999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99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B</a:t>
            </a:r>
            <a:endParaRPr lang="zh-TW" altLang="en-US">
              <a:solidFill>
                <a:srgbClr val="0070C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Grayscale!$A$2</c:f>
              <c:strCache>
                <c:ptCount val="1"/>
                <c:pt idx="0">
                  <c:v>16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10"/>
              </a:solidFill>
              <a:ln w="9525">
                <a:noFill/>
              </a:ln>
              <a:effectLst/>
            </c:spPr>
          </c:marker>
          <c:xVal>
            <c:numRef>
              <c:f>Grayscale!$F$2</c:f>
              <c:numCache>
                <c:formatCode>0.000</c:formatCode>
                <c:ptCount val="1"/>
              </c:numCache>
            </c:numRef>
          </c:xVal>
          <c:yVal>
            <c:numRef>
              <c:f>Grayscale!$G$2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3D-474A-823E-0107BD1C4429}"/>
            </c:ext>
          </c:extLst>
        </c:ser>
        <c:ser>
          <c:idx val="2"/>
          <c:order val="1"/>
          <c:tx>
            <c:strRef>
              <c:f>Grayscale!$A$3</c:f>
              <c:strCache>
                <c:ptCount val="1"/>
                <c:pt idx="0">
                  <c:v>32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20"/>
              </a:solidFill>
              <a:ln w="9525">
                <a:noFill/>
              </a:ln>
              <a:effectLst/>
            </c:spPr>
          </c:marker>
          <c:xVal>
            <c:numRef>
              <c:f>Grayscale!$F$3</c:f>
              <c:numCache>
                <c:formatCode>0.000</c:formatCode>
                <c:ptCount val="1"/>
              </c:numCache>
            </c:numRef>
          </c:xVal>
          <c:yVal>
            <c:numRef>
              <c:f>Grayscale!$G$3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3D-474A-823E-0107BD1C4429}"/>
            </c:ext>
          </c:extLst>
        </c:ser>
        <c:ser>
          <c:idx val="3"/>
          <c:order val="2"/>
          <c:tx>
            <c:strRef>
              <c:f>Grayscale!$A$4</c:f>
              <c:strCache>
                <c:ptCount val="1"/>
                <c:pt idx="0">
                  <c:v>48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30"/>
              </a:solidFill>
              <a:ln w="9525">
                <a:noFill/>
              </a:ln>
              <a:effectLst/>
            </c:spPr>
          </c:marker>
          <c:xVal>
            <c:numRef>
              <c:f>Grayscale!$F$4</c:f>
              <c:numCache>
                <c:formatCode>0.000</c:formatCode>
                <c:ptCount val="1"/>
              </c:numCache>
            </c:numRef>
          </c:xVal>
          <c:yVal>
            <c:numRef>
              <c:f>Grayscale!$G$4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3D-474A-823E-0107BD1C4429}"/>
            </c:ext>
          </c:extLst>
        </c:ser>
        <c:ser>
          <c:idx val="4"/>
          <c:order val="3"/>
          <c:tx>
            <c:strRef>
              <c:f>Grayscale!$A$5</c:f>
              <c:strCache>
                <c:ptCount val="1"/>
                <c:pt idx="0">
                  <c:v>64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40"/>
              </a:solidFill>
              <a:ln w="9525">
                <a:noFill/>
              </a:ln>
              <a:effectLst/>
            </c:spPr>
          </c:marker>
          <c:xVal>
            <c:numRef>
              <c:f>Grayscale!$F$5</c:f>
              <c:numCache>
                <c:formatCode>0.000</c:formatCode>
                <c:ptCount val="1"/>
              </c:numCache>
            </c:numRef>
          </c:xVal>
          <c:yVal>
            <c:numRef>
              <c:f>Grayscale!$G$5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3D-474A-823E-0107BD1C4429}"/>
            </c:ext>
          </c:extLst>
        </c:ser>
        <c:ser>
          <c:idx val="5"/>
          <c:order val="4"/>
          <c:tx>
            <c:strRef>
              <c:f>Grayscale!$A$6</c:f>
              <c:strCache>
                <c:ptCount val="1"/>
                <c:pt idx="0">
                  <c:v>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50"/>
              </a:solidFill>
              <a:ln w="9525">
                <a:noFill/>
              </a:ln>
              <a:effectLst/>
            </c:spPr>
          </c:marker>
          <c:xVal>
            <c:numRef>
              <c:f>Grayscale!$F$6</c:f>
              <c:numCache>
                <c:formatCode>0.000</c:formatCode>
                <c:ptCount val="1"/>
              </c:numCache>
            </c:numRef>
          </c:xVal>
          <c:yVal>
            <c:numRef>
              <c:f>Grayscale!$G$6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3D-474A-823E-0107BD1C4429}"/>
            </c:ext>
          </c:extLst>
        </c:ser>
        <c:ser>
          <c:idx val="6"/>
          <c:order val="5"/>
          <c:tx>
            <c:strRef>
              <c:f>Grayscale!$A$7</c:f>
              <c:strCache>
                <c:ptCount val="1"/>
                <c:pt idx="0">
                  <c:v>96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60"/>
              </a:solidFill>
              <a:ln w="9525">
                <a:noFill/>
              </a:ln>
              <a:effectLst/>
            </c:spPr>
          </c:marker>
          <c:xVal>
            <c:numRef>
              <c:f>Grayscale!$F$7</c:f>
              <c:numCache>
                <c:formatCode>0.000</c:formatCode>
                <c:ptCount val="1"/>
              </c:numCache>
            </c:numRef>
          </c:xVal>
          <c:yVal>
            <c:numRef>
              <c:f>Grayscale!$G$7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53D-474A-823E-0107BD1C4429}"/>
            </c:ext>
          </c:extLst>
        </c:ser>
        <c:ser>
          <c:idx val="7"/>
          <c:order val="6"/>
          <c:tx>
            <c:strRef>
              <c:f>Grayscale!$A$8</c:f>
              <c:strCache>
                <c:ptCount val="1"/>
                <c:pt idx="0">
                  <c:v>112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70"/>
              </a:solidFill>
              <a:ln w="9525">
                <a:noFill/>
              </a:ln>
              <a:effectLst/>
            </c:spPr>
          </c:marker>
          <c:xVal>
            <c:numRef>
              <c:f>Grayscale!$F$8</c:f>
              <c:numCache>
                <c:formatCode>0.000</c:formatCode>
                <c:ptCount val="1"/>
              </c:numCache>
            </c:numRef>
          </c:xVal>
          <c:yVal>
            <c:numRef>
              <c:f>Grayscale!$G$8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53D-474A-823E-0107BD1C4429}"/>
            </c:ext>
          </c:extLst>
        </c:ser>
        <c:ser>
          <c:idx val="8"/>
          <c:order val="7"/>
          <c:tx>
            <c:strRef>
              <c:f>Grayscale!$A$9</c:f>
              <c:strCache>
                <c:ptCount val="1"/>
                <c:pt idx="0">
                  <c:v>128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80"/>
              </a:solidFill>
              <a:ln w="9525">
                <a:noFill/>
              </a:ln>
              <a:effectLst/>
            </c:spPr>
          </c:marker>
          <c:xVal>
            <c:numRef>
              <c:f>Grayscale!$F$9</c:f>
              <c:numCache>
                <c:formatCode>0.000</c:formatCode>
                <c:ptCount val="1"/>
              </c:numCache>
            </c:numRef>
          </c:xVal>
          <c:yVal>
            <c:numRef>
              <c:f>Grayscale!$G$9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53D-474A-823E-0107BD1C4429}"/>
            </c:ext>
          </c:extLst>
        </c:ser>
        <c:ser>
          <c:idx val="9"/>
          <c:order val="8"/>
          <c:tx>
            <c:strRef>
              <c:f>Grayscale!$A$10</c:f>
              <c:strCache>
                <c:ptCount val="1"/>
                <c:pt idx="0">
                  <c:v>144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90"/>
              </a:solidFill>
              <a:ln w="9525">
                <a:noFill/>
              </a:ln>
              <a:effectLst/>
            </c:spPr>
          </c:marker>
          <c:xVal>
            <c:numRef>
              <c:f>Grayscale!$F$10</c:f>
              <c:numCache>
                <c:formatCode>0.000</c:formatCode>
                <c:ptCount val="1"/>
              </c:numCache>
            </c:numRef>
          </c:xVal>
          <c:yVal>
            <c:numRef>
              <c:f>Grayscale!$G$10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53D-474A-823E-0107BD1C4429}"/>
            </c:ext>
          </c:extLst>
        </c:ser>
        <c:ser>
          <c:idx val="10"/>
          <c:order val="9"/>
          <c:tx>
            <c:strRef>
              <c:f>Grayscale!$A$11</c:f>
              <c:strCache>
                <c:ptCount val="1"/>
                <c:pt idx="0">
                  <c:v>160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A0"/>
              </a:solidFill>
              <a:ln w="9525">
                <a:noFill/>
              </a:ln>
              <a:effectLst/>
            </c:spPr>
          </c:marker>
          <c:xVal>
            <c:numRef>
              <c:f>Grayscale!$F$11</c:f>
              <c:numCache>
                <c:formatCode>0.000</c:formatCode>
                <c:ptCount val="1"/>
              </c:numCache>
            </c:numRef>
          </c:xVal>
          <c:yVal>
            <c:numRef>
              <c:f>Grayscale!$G$11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53D-474A-823E-0107BD1C4429}"/>
            </c:ext>
          </c:extLst>
        </c:ser>
        <c:ser>
          <c:idx val="11"/>
          <c:order val="10"/>
          <c:tx>
            <c:strRef>
              <c:f>Grayscale!$A$12</c:f>
              <c:strCache>
                <c:ptCount val="1"/>
                <c:pt idx="0">
                  <c:v>176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B0"/>
              </a:solidFill>
              <a:ln w="9525">
                <a:noFill/>
              </a:ln>
              <a:effectLst/>
            </c:spPr>
          </c:marker>
          <c:xVal>
            <c:numRef>
              <c:f>Grayscale!$F$12</c:f>
              <c:numCache>
                <c:formatCode>0.000</c:formatCode>
                <c:ptCount val="1"/>
              </c:numCache>
            </c:numRef>
          </c:xVal>
          <c:yVal>
            <c:numRef>
              <c:f>Grayscale!$G$12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53D-474A-823E-0107BD1C4429}"/>
            </c:ext>
          </c:extLst>
        </c:ser>
        <c:ser>
          <c:idx val="12"/>
          <c:order val="11"/>
          <c:tx>
            <c:strRef>
              <c:f>Grayscale!$A$13</c:f>
              <c:strCache>
                <c:ptCount val="1"/>
                <c:pt idx="0">
                  <c:v>192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C4"/>
              </a:solidFill>
              <a:ln w="9525">
                <a:noFill/>
              </a:ln>
              <a:effectLst/>
            </c:spPr>
          </c:marker>
          <c:xVal>
            <c:numRef>
              <c:f>Grayscale!$F$13</c:f>
              <c:numCache>
                <c:formatCode>0.000</c:formatCode>
                <c:ptCount val="1"/>
              </c:numCache>
            </c:numRef>
          </c:xVal>
          <c:yVal>
            <c:numRef>
              <c:f>Grayscale!$G$13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53D-474A-823E-0107BD1C4429}"/>
            </c:ext>
          </c:extLst>
        </c:ser>
        <c:ser>
          <c:idx val="13"/>
          <c:order val="12"/>
          <c:tx>
            <c:strRef>
              <c:f>Grayscale!$A$14</c:f>
              <c:strCache>
                <c:ptCount val="1"/>
                <c:pt idx="0">
                  <c:v>208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D0"/>
              </a:solidFill>
              <a:ln w="9525">
                <a:noFill/>
              </a:ln>
              <a:effectLst/>
            </c:spPr>
          </c:marker>
          <c:xVal>
            <c:numRef>
              <c:f>Grayscale!$F$14</c:f>
              <c:numCache>
                <c:formatCode>0.000</c:formatCode>
                <c:ptCount val="1"/>
              </c:numCache>
            </c:numRef>
          </c:xVal>
          <c:yVal>
            <c:numRef>
              <c:f>Grayscale!$G$14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53D-474A-823E-0107BD1C4429}"/>
            </c:ext>
          </c:extLst>
        </c:ser>
        <c:ser>
          <c:idx val="14"/>
          <c:order val="13"/>
          <c:tx>
            <c:strRef>
              <c:f>Grayscale!$A$15</c:f>
              <c:strCache>
                <c:ptCount val="1"/>
                <c:pt idx="0">
                  <c:v>224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E0"/>
              </a:solidFill>
              <a:ln w="9525">
                <a:noFill/>
              </a:ln>
              <a:effectLst/>
            </c:spPr>
          </c:marker>
          <c:xVal>
            <c:numRef>
              <c:f>Grayscale!$F$15</c:f>
              <c:numCache>
                <c:formatCode>0.000</c:formatCode>
                <c:ptCount val="1"/>
              </c:numCache>
            </c:numRef>
          </c:xVal>
          <c:yVal>
            <c:numRef>
              <c:f>Grayscale!$G$15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53D-474A-823E-0107BD1C4429}"/>
            </c:ext>
          </c:extLst>
        </c:ser>
        <c:ser>
          <c:idx val="15"/>
          <c:order val="14"/>
          <c:tx>
            <c:strRef>
              <c:f>Grayscale!$A$16</c:f>
              <c:strCache>
                <c:ptCount val="1"/>
                <c:pt idx="0">
                  <c:v>240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F0"/>
              </a:solidFill>
              <a:ln w="9525">
                <a:noFill/>
              </a:ln>
              <a:effectLst/>
            </c:spPr>
          </c:marker>
          <c:xVal>
            <c:numRef>
              <c:f>Grayscale!$F$16</c:f>
              <c:numCache>
                <c:formatCode>0.000</c:formatCode>
                <c:ptCount val="1"/>
              </c:numCache>
            </c:numRef>
          </c:xVal>
          <c:yVal>
            <c:numRef>
              <c:f>Grayscale!$G$16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53D-474A-823E-0107BD1C4429}"/>
            </c:ext>
          </c:extLst>
        </c:ser>
        <c:ser>
          <c:idx val="16"/>
          <c:order val="15"/>
          <c:tx>
            <c:strRef>
              <c:f>Grayscale!$A$17</c:f>
              <c:strCache>
                <c:ptCount val="1"/>
                <c:pt idx="0">
                  <c:v>256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Grayscale!$F$17</c:f>
              <c:numCache>
                <c:formatCode>0.000</c:formatCode>
                <c:ptCount val="1"/>
              </c:numCache>
            </c:numRef>
          </c:xVal>
          <c:yVal>
            <c:numRef>
              <c:f>Grayscale!$G$17</c:f>
              <c:numCache>
                <c:formatCode>0.000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53D-474A-823E-0107BD1C4429}"/>
            </c:ext>
          </c:extLst>
        </c:ser>
        <c:ser>
          <c:idx val="0"/>
          <c:order val="16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ColorSpace!$G$7:$G$8</c:f>
              <c:numCache>
                <c:formatCode>0.0000_ </c:formatCode>
                <c:ptCount val="2"/>
                <c:pt idx="0">
                  <c:v>0.13456756863761068</c:v>
                </c:pt>
                <c:pt idx="1">
                  <c:v>0.14056756863761069</c:v>
                </c:pt>
              </c:numCache>
            </c:numRef>
          </c:xVal>
          <c:yVal>
            <c:numRef>
              <c:f>(ColorSpace!$H$7,ColorSpace!$H$7)</c:f>
              <c:numCache>
                <c:formatCode>0.0000_ </c:formatCode>
                <c:ptCount val="2"/>
                <c:pt idx="0">
                  <c:v>4.3044267422174674E-2</c:v>
                </c:pt>
                <c:pt idx="1">
                  <c:v>4.3044267422174674E-2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53D-474A-823E-0107BD1C4429}"/>
            </c:ext>
          </c:extLst>
        </c:ser>
        <c:ser>
          <c:idx val="17"/>
          <c:order val="17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ColorSpace!$G$7:$G$8</c:f>
              <c:numCache>
                <c:formatCode>0.0000_ </c:formatCode>
                <c:ptCount val="2"/>
                <c:pt idx="0">
                  <c:v>0.13456756863761068</c:v>
                </c:pt>
                <c:pt idx="1">
                  <c:v>0.14056756863761069</c:v>
                </c:pt>
              </c:numCache>
            </c:numRef>
          </c:xVal>
          <c:yVal>
            <c:numRef>
              <c:f>(ColorSpace!$H$8,ColorSpace!$H$8)</c:f>
              <c:numCache>
                <c:formatCode>0.0000_ </c:formatCode>
                <c:ptCount val="2"/>
                <c:pt idx="0">
                  <c:v>4.904426742217468E-2</c:v>
                </c:pt>
                <c:pt idx="1">
                  <c:v>4.904426742217468E-2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53D-474A-823E-0107BD1C4429}"/>
            </c:ext>
          </c:extLst>
        </c:ser>
        <c:ser>
          <c:idx val="18"/>
          <c:order val="18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(ColorSpace!$G$7,ColorSpace!$G$7)</c:f>
              <c:numCache>
                <c:formatCode>0.0000_ </c:formatCode>
                <c:ptCount val="2"/>
                <c:pt idx="0">
                  <c:v>0.13456756863761068</c:v>
                </c:pt>
                <c:pt idx="1">
                  <c:v>0.13456756863761068</c:v>
                </c:pt>
              </c:numCache>
            </c:numRef>
          </c:xVal>
          <c:yVal>
            <c:numRef>
              <c:f>ColorSpace!$H$7:$H$8</c:f>
              <c:numCache>
                <c:formatCode>0.0000_ </c:formatCode>
                <c:ptCount val="2"/>
                <c:pt idx="0">
                  <c:v>4.3044267422174674E-2</c:v>
                </c:pt>
                <c:pt idx="1">
                  <c:v>4.904426742217468E-2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53D-474A-823E-0107BD1C4429}"/>
            </c:ext>
          </c:extLst>
        </c:ser>
        <c:ser>
          <c:idx val="19"/>
          <c:order val="19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(ColorSpace!$G$8,ColorSpace!$G$8)</c:f>
              <c:numCache>
                <c:formatCode>0.0000_ </c:formatCode>
                <c:ptCount val="2"/>
                <c:pt idx="0">
                  <c:v>0.14056756863761069</c:v>
                </c:pt>
                <c:pt idx="1">
                  <c:v>0.14056756863761069</c:v>
                </c:pt>
              </c:numCache>
            </c:numRef>
          </c:xVal>
          <c:yVal>
            <c:numRef>
              <c:f>ColorSpace!$H$7:$H$8</c:f>
              <c:numCache>
                <c:formatCode>0.0000_ </c:formatCode>
                <c:ptCount val="2"/>
                <c:pt idx="0">
                  <c:v>4.3044267422174674E-2</c:v>
                </c:pt>
                <c:pt idx="1">
                  <c:v>4.904426742217468E-2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53D-474A-823E-0107BD1C4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93928"/>
        <c:axId val="189993536"/>
      </c:scatterChart>
      <c:valAx>
        <c:axId val="189993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993536"/>
        <c:crosses val="autoZero"/>
        <c:crossBetween val="midCat"/>
      </c:valAx>
      <c:valAx>
        <c:axId val="18999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993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en-US"/>
              <a:t>CIE 1931</a:t>
            </a:r>
            <a:r>
              <a:rPr lang="en-US" altLang="en-US" baseline="0"/>
              <a:t> (</a:t>
            </a:r>
            <a:r>
              <a:rPr lang="en-US" altLang="en-US"/>
              <a:t>xy)</a:t>
            </a:r>
          </a:p>
        </c:rich>
      </c:tx>
      <c:layout>
        <c:manualLayout>
          <c:xMode val="edge"/>
          <c:yMode val="edge"/>
          <c:x val="0.45437986569138117"/>
          <c:y val="3.076924361029469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963513649274424"/>
          <c:y val="8.0341913871324819E-2"/>
          <c:w val="0.81021951954607663"/>
          <c:h val="0.8119661508272179"/>
        </c:manualLayout>
      </c:layout>
      <c:scatterChart>
        <c:scatterStyle val="lineMarker"/>
        <c:varyColors val="0"/>
        <c:ser>
          <c:idx val="9"/>
          <c:order val="0"/>
          <c:tx>
            <c:strRef>
              <c:f>ColorSpace!$B$2</c:f>
              <c:strCache>
                <c:ptCount val="1"/>
                <c:pt idx="0">
                  <c:v>NTSC 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ColorSpace!$C$3:$C$4</c:f>
              <c:numCache>
                <c:formatCode>0.0000</c:formatCode>
                <c:ptCount val="2"/>
                <c:pt idx="0">
                  <c:v>0.67</c:v>
                </c:pt>
                <c:pt idx="1">
                  <c:v>0.21</c:v>
                </c:pt>
              </c:numCache>
            </c:numRef>
          </c:xVal>
          <c:yVal>
            <c:numRef>
              <c:f>ColorSpace!$D$3:$D$4</c:f>
              <c:numCache>
                <c:formatCode>0.0000</c:formatCode>
                <c:ptCount val="2"/>
                <c:pt idx="0">
                  <c:v>0.33</c:v>
                </c:pt>
                <c:pt idx="1">
                  <c:v>0.71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43-4495-8FA0-518DDA9DBA6F}"/>
            </c:ext>
          </c:extLst>
        </c:ser>
        <c:ser>
          <c:idx val="0"/>
          <c:order val="1"/>
          <c:tx>
            <c:strRef>
              <c:f>ColorSpace!$B$10</c:f>
              <c:strCache>
                <c:ptCount val="1"/>
                <c:pt idx="0">
                  <c:v>DCI P3</c:v>
                </c:pt>
              </c:strCache>
            </c:strRef>
          </c:tx>
          <c:spPr>
            <a:ln w="2540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ColorSpace!$C$11:$C$12</c:f>
              <c:numCache>
                <c:formatCode>0.0000</c:formatCode>
                <c:ptCount val="2"/>
                <c:pt idx="0">
                  <c:v>0.68</c:v>
                </c:pt>
                <c:pt idx="1">
                  <c:v>0.26500000000000001</c:v>
                </c:pt>
              </c:numCache>
            </c:numRef>
          </c:xVal>
          <c:yVal>
            <c:numRef>
              <c:f>ColorSpace!$D$11:$D$12</c:f>
              <c:numCache>
                <c:formatCode>0.0000</c:formatCode>
                <c:ptCount val="2"/>
                <c:pt idx="0">
                  <c:v>0.32</c:v>
                </c:pt>
                <c:pt idx="1">
                  <c:v>0.69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43-4495-8FA0-518DDA9DBA6F}"/>
            </c:ext>
          </c:extLst>
        </c:ser>
        <c:ser>
          <c:idx val="6"/>
          <c:order val="2"/>
          <c:tx>
            <c:strRef>
              <c:f>ColorSpace!$B$18</c:f>
              <c:strCache>
                <c:ptCount val="1"/>
                <c:pt idx="0">
                  <c:v>Rec.2020</c:v>
                </c:pt>
              </c:strCache>
            </c:strRef>
          </c:tx>
          <c:spPr>
            <a:ln w="25400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ColorSpace!$C$19:$C$20</c:f>
              <c:numCache>
                <c:formatCode>0.0000</c:formatCode>
                <c:ptCount val="2"/>
                <c:pt idx="0">
                  <c:v>0.70799999999999996</c:v>
                </c:pt>
                <c:pt idx="1">
                  <c:v>0.17</c:v>
                </c:pt>
              </c:numCache>
            </c:numRef>
          </c:xVal>
          <c:yVal>
            <c:numRef>
              <c:f>ColorSpace!$D$19:$D$20</c:f>
              <c:numCache>
                <c:formatCode>0.0000</c:formatCode>
                <c:ptCount val="2"/>
                <c:pt idx="0">
                  <c:v>0.29199999999999998</c:v>
                </c:pt>
                <c:pt idx="1">
                  <c:v>0.79700000000000004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43-4495-8FA0-518DDA9DBA6F}"/>
            </c:ext>
          </c:extLst>
        </c:ser>
        <c:ser>
          <c:idx val="3"/>
          <c:order val="3"/>
          <c:tx>
            <c:strRef>
              <c:f>ColorSpace!$B$26</c:f>
              <c:strCache>
                <c:ptCount val="1"/>
                <c:pt idx="0">
                  <c:v>X098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ColorSpace!$C$27:$C$28</c:f>
              <c:numCache>
                <c:formatCode>0.0000</c:formatCode>
                <c:ptCount val="2"/>
                <c:pt idx="0">
                  <c:v>0.69527114962932179</c:v>
                </c:pt>
                <c:pt idx="1">
                  <c:v>0.18186481444489577</c:v>
                </c:pt>
              </c:numCache>
            </c:numRef>
          </c:xVal>
          <c:yVal>
            <c:numRef>
              <c:f>ColorSpace!$D$27:$D$28</c:f>
              <c:numCache>
                <c:formatCode>0.0000</c:formatCode>
                <c:ptCount val="2"/>
                <c:pt idx="0">
                  <c:v>0.30460663092842244</c:v>
                </c:pt>
                <c:pt idx="1">
                  <c:v>0.75069483771125112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43-4495-8FA0-518DDA9DBA6F}"/>
            </c:ext>
          </c:extLst>
        </c:ser>
        <c:ser>
          <c:idx val="1"/>
          <c:order val="4"/>
          <c:tx>
            <c:v>""</c:v>
          </c:tx>
          <c:spPr>
            <a:ln w="2540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ColorSpace!$C$12:$C$13</c:f>
              <c:numCache>
                <c:formatCode>0.0000</c:formatCode>
                <c:ptCount val="2"/>
                <c:pt idx="0">
                  <c:v>0.26500000000000001</c:v>
                </c:pt>
                <c:pt idx="1">
                  <c:v>0.15</c:v>
                </c:pt>
              </c:numCache>
            </c:numRef>
          </c:xVal>
          <c:yVal>
            <c:numRef>
              <c:f>ColorSpace!$D$12:$D$13</c:f>
              <c:numCache>
                <c:formatCode>0.0000</c:formatCode>
                <c:ptCount val="2"/>
                <c:pt idx="0">
                  <c:v>0.69</c:v>
                </c:pt>
                <c:pt idx="1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543-4495-8FA0-518DDA9DBA6F}"/>
            </c:ext>
          </c:extLst>
        </c:ser>
        <c:ser>
          <c:idx val="2"/>
          <c:order val="5"/>
          <c:tx>
            <c:v>""</c:v>
          </c:tx>
          <c:spPr>
            <a:ln w="2540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(ColorSpace!$C$11,ColorSpace!$C$13)</c:f>
              <c:numCache>
                <c:formatCode>0.0000</c:formatCode>
                <c:ptCount val="2"/>
                <c:pt idx="0">
                  <c:v>0.68</c:v>
                </c:pt>
                <c:pt idx="1">
                  <c:v>0.15</c:v>
                </c:pt>
              </c:numCache>
            </c:numRef>
          </c:xVal>
          <c:yVal>
            <c:numRef>
              <c:f>(ColorSpace!$D$11,ColorSpace!$D$13)</c:f>
              <c:numCache>
                <c:formatCode>0.0000</c:formatCode>
                <c:ptCount val="2"/>
                <c:pt idx="0">
                  <c:v>0.32</c:v>
                </c:pt>
                <c:pt idx="1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543-4495-8FA0-518DDA9DBA6F}"/>
            </c:ext>
          </c:extLst>
        </c:ser>
        <c:ser>
          <c:idx val="7"/>
          <c:order val="6"/>
          <c:tx>
            <c:v>""</c:v>
          </c:tx>
          <c:spPr>
            <a:ln w="25400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ColorSpace!$C$20:$C$21</c:f>
              <c:numCache>
                <c:formatCode>0.0000</c:formatCode>
                <c:ptCount val="2"/>
                <c:pt idx="0">
                  <c:v>0.17</c:v>
                </c:pt>
                <c:pt idx="1">
                  <c:v>0.13100000000000001</c:v>
                </c:pt>
              </c:numCache>
            </c:numRef>
          </c:xVal>
          <c:yVal>
            <c:numRef>
              <c:f>ColorSpace!$D$20:$D$21</c:f>
              <c:numCache>
                <c:formatCode>0.0000</c:formatCode>
                <c:ptCount val="2"/>
                <c:pt idx="0">
                  <c:v>0.79700000000000004</c:v>
                </c:pt>
                <c:pt idx="1">
                  <c:v>4.5999999999999999E-2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543-4495-8FA0-518DDA9DBA6F}"/>
            </c:ext>
          </c:extLst>
        </c:ser>
        <c:ser>
          <c:idx val="8"/>
          <c:order val="7"/>
          <c:tx>
            <c:v>""</c:v>
          </c:tx>
          <c:spPr>
            <a:ln w="25400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7-A543-4495-8FA0-518DDA9DBA6F}"/>
              </c:ext>
            </c:extLst>
          </c:dPt>
          <c:xVal>
            <c:numRef>
              <c:f>(ColorSpace!$C$21,ColorSpace!$C$19)</c:f>
              <c:numCache>
                <c:formatCode>0.0000</c:formatCode>
                <c:ptCount val="2"/>
                <c:pt idx="0">
                  <c:v>0.13100000000000001</c:v>
                </c:pt>
                <c:pt idx="1">
                  <c:v>0.70799999999999996</c:v>
                </c:pt>
              </c:numCache>
            </c:numRef>
          </c:xVal>
          <c:yVal>
            <c:numRef>
              <c:f>(ColorSpace!$D$21,ColorSpace!$D$19)</c:f>
              <c:numCache>
                <c:formatCode>0.0000</c:formatCode>
                <c:ptCount val="2"/>
                <c:pt idx="0">
                  <c:v>4.5999999999999999E-2</c:v>
                </c:pt>
                <c:pt idx="1">
                  <c:v>0.29199999999999998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543-4495-8FA0-518DDA9DBA6F}"/>
            </c:ext>
          </c:extLst>
        </c:ser>
        <c:ser>
          <c:idx val="14"/>
          <c:order val="8"/>
          <c:tx>
            <c:v>""</c:v>
          </c:tx>
          <c:spPr>
            <a:ln w="25400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(ColorSpace!$C$29,ColorSpace!$C$27)</c:f>
              <c:numCache>
                <c:formatCode>0.0000</c:formatCode>
                <c:ptCount val="2"/>
                <c:pt idx="0">
                  <c:v>0.13756756863761069</c:v>
                </c:pt>
                <c:pt idx="1">
                  <c:v>0.69527114962932179</c:v>
                </c:pt>
              </c:numCache>
            </c:numRef>
          </c:xVal>
          <c:yVal>
            <c:numRef>
              <c:f>(ColorSpace!$D$29,ColorSpace!$D$27)</c:f>
              <c:numCache>
                <c:formatCode>0.0000</c:formatCode>
                <c:ptCount val="2"/>
                <c:pt idx="0">
                  <c:v>4.6044267422174677E-2</c:v>
                </c:pt>
                <c:pt idx="1">
                  <c:v>0.30460663092842244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543-4495-8FA0-518DDA9DBA6F}"/>
            </c:ext>
          </c:extLst>
        </c:ser>
        <c:ser>
          <c:idx val="4"/>
          <c:order val="9"/>
          <c:tx>
            <c:v>""</c:v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dPt>
            <c:idx val="1"/>
            <c:bubble3D val="0"/>
            <c:spPr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A543-4495-8FA0-518DDA9DBA6F}"/>
              </c:ext>
            </c:extLst>
          </c:dPt>
          <c:xVal>
            <c:numRef>
              <c:f>ColorSpace!$C$28:$C$29</c:f>
              <c:numCache>
                <c:formatCode>0.0000</c:formatCode>
                <c:ptCount val="2"/>
                <c:pt idx="0">
                  <c:v>0.18186481444489577</c:v>
                </c:pt>
                <c:pt idx="1">
                  <c:v>0.13756756863761069</c:v>
                </c:pt>
              </c:numCache>
            </c:numRef>
          </c:xVal>
          <c:yVal>
            <c:numRef>
              <c:f>ColorSpace!$D$28:$D$29</c:f>
              <c:numCache>
                <c:formatCode>0.0000</c:formatCode>
                <c:ptCount val="2"/>
                <c:pt idx="0">
                  <c:v>0.75069483771125112</c:v>
                </c:pt>
                <c:pt idx="1">
                  <c:v>4.6044267422174677E-2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543-4495-8FA0-518DDA9DBA6F}"/>
            </c:ext>
          </c:extLst>
        </c:ser>
        <c:ser>
          <c:idx val="5"/>
          <c:order val="10"/>
          <c:tx>
            <c:v>""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(ColorSpace!$C$27,ColorSpace!$C$29)</c:f>
              <c:numCache>
                <c:formatCode>0.0000</c:formatCode>
                <c:ptCount val="2"/>
                <c:pt idx="0">
                  <c:v>0.69527114962932179</c:v>
                </c:pt>
                <c:pt idx="1">
                  <c:v>0.13756756863761069</c:v>
                </c:pt>
              </c:numCache>
            </c:numRef>
          </c:xVal>
          <c:yVal>
            <c:numRef>
              <c:f>(ColorSpace!$D$27,ColorSpace!$D$29)</c:f>
              <c:numCache>
                <c:formatCode>0.0000</c:formatCode>
                <c:ptCount val="2"/>
                <c:pt idx="0">
                  <c:v>0.30460663092842244</c:v>
                </c:pt>
                <c:pt idx="1">
                  <c:v>4.6044267422174677E-2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543-4495-8FA0-518DDA9DBA6F}"/>
            </c:ext>
          </c:extLst>
        </c:ser>
        <c:ser>
          <c:idx val="15"/>
          <c:order val="11"/>
          <c:tx>
            <c:v>"NTSC"-2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ColorSpace!$C$4:$C$5</c:f>
              <c:numCache>
                <c:formatCode>0.0000</c:formatCode>
                <c:ptCount val="2"/>
                <c:pt idx="0">
                  <c:v>0.21</c:v>
                </c:pt>
                <c:pt idx="1">
                  <c:v>0.14000000000000001</c:v>
                </c:pt>
              </c:numCache>
            </c:numRef>
          </c:xVal>
          <c:yVal>
            <c:numRef>
              <c:f>ColorSpace!$D$4:$D$5</c:f>
              <c:numCache>
                <c:formatCode>0.0000</c:formatCode>
                <c:ptCount val="2"/>
                <c:pt idx="0">
                  <c:v>0.71</c:v>
                </c:pt>
                <c:pt idx="1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543-4495-8FA0-518DDA9DBA6F}"/>
            </c:ext>
          </c:extLst>
        </c:ser>
        <c:ser>
          <c:idx val="16"/>
          <c:order val="12"/>
          <c:tx>
            <c:v>"NTSC"-3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(ColorSpace!$C$3,ColorSpace!$C$5)</c:f>
              <c:numCache>
                <c:formatCode>0.0000</c:formatCode>
                <c:ptCount val="2"/>
                <c:pt idx="0">
                  <c:v>0.67</c:v>
                </c:pt>
                <c:pt idx="1">
                  <c:v>0.14000000000000001</c:v>
                </c:pt>
              </c:numCache>
            </c:numRef>
          </c:xVal>
          <c:yVal>
            <c:numRef>
              <c:f>(ColorSpace!$D$3,ColorSpace!$D$5)</c:f>
              <c:numCache>
                <c:formatCode>0.0000</c:formatCode>
                <c:ptCount val="2"/>
                <c:pt idx="0">
                  <c:v>0.33</c:v>
                </c:pt>
                <c:pt idx="1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543-4495-8FA0-518DDA9DB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88832"/>
        <c:axId val="189987264"/>
      </c:scatterChart>
      <c:valAx>
        <c:axId val="189988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/>
                  <a:t>x</a:t>
                </a:r>
              </a:p>
            </c:rich>
          </c:tx>
          <c:layout>
            <c:manualLayout>
              <c:xMode val="edge"/>
              <c:yMode val="edge"/>
              <c:x val="0.54562080257720136"/>
              <c:y val="0.94700894222795751"/>
            </c:manualLayout>
          </c:layout>
          <c:overlay val="0"/>
          <c:spPr>
            <a:noFill/>
            <a:ln w="25400">
              <a:noFill/>
            </a:ln>
          </c:spPr>
        </c:title>
        <c:numFmt formatCode="0.0_);[Red]\(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TW"/>
          </a:p>
        </c:txPr>
        <c:crossAx val="189987264"/>
        <c:crosses val="autoZero"/>
        <c:crossBetween val="midCat"/>
        <c:majorUnit val="0.1"/>
      </c:valAx>
      <c:valAx>
        <c:axId val="189987264"/>
        <c:scaling>
          <c:orientation val="minMax"/>
          <c:max val="0.9"/>
        </c:scaling>
        <c:delete val="0"/>
        <c:axPos val="l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/>
                  <a:t>y</a:t>
                </a:r>
              </a:p>
            </c:rich>
          </c:tx>
          <c:layout>
            <c:manualLayout>
              <c:xMode val="edge"/>
              <c:yMode val="edge"/>
              <c:x val="3.8321193492044159E-2"/>
              <c:y val="0.47692327595956818"/>
            </c:manualLayout>
          </c:layout>
          <c:overlay val="0"/>
          <c:spPr>
            <a:noFill/>
            <a:ln w="25400">
              <a:noFill/>
            </a:ln>
          </c:spPr>
        </c:title>
        <c:numFmt formatCode="0.0_);[Red]\(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TW"/>
          </a:p>
        </c:txPr>
        <c:crossAx val="189988832"/>
        <c:crosses val="autoZero"/>
        <c:crossBetween val="midCat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01983312816304"/>
          <c:y val="0.11559677310478156"/>
          <c:w val="0.27626195884316268"/>
          <c:h val="9.96925213675213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TW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Grayscale!$B$1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Grayscale!$B$2:$B$17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1-40F9-9CC1-670BE05EF7EE}"/>
            </c:ext>
          </c:extLst>
        </c:ser>
        <c:ser>
          <c:idx val="1"/>
          <c:order val="1"/>
          <c:tx>
            <c:strRef>
              <c:f>Grayscale!$L$1</c:f>
              <c:strCache>
                <c:ptCount val="1"/>
                <c:pt idx="0">
                  <c:v>Up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Grayscale!$L$2:$L$17</c:f>
              <c:numCache>
                <c:formatCode>0.000</c:formatCode>
                <c:ptCount val="16"/>
                <c:pt idx="0">
                  <c:v>0.70162329621809594</c:v>
                </c:pt>
                <c:pt idx="1">
                  <c:v>0.70162329621809594</c:v>
                </c:pt>
                <c:pt idx="2">
                  <c:v>0.70162329621809594</c:v>
                </c:pt>
                <c:pt idx="3">
                  <c:v>0.70162329621809594</c:v>
                </c:pt>
                <c:pt idx="4">
                  <c:v>0.70162329621809594</c:v>
                </c:pt>
                <c:pt idx="5">
                  <c:v>0.70162329621809594</c:v>
                </c:pt>
                <c:pt idx="6">
                  <c:v>0.70162329621809594</c:v>
                </c:pt>
                <c:pt idx="7">
                  <c:v>0.70162329621809594</c:v>
                </c:pt>
                <c:pt idx="8">
                  <c:v>0.70162329621809594</c:v>
                </c:pt>
                <c:pt idx="9">
                  <c:v>0.70162329621809594</c:v>
                </c:pt>
                <c:pt idx="10">
                  <c:v>0.70162329621809594</c:v>
                </c:pt>
                <c:pt idx="11">
                  <c:v>0.70162329621809594</c:v>
                </c:pt>
                <c:pt idx="12">
                  <c:v>0.70162329621809594</c:v>
                </c:pt>
                <c:pt idx="13">
                  <c:v>0.70162329621809594</c:v>
                </c:pt>
                <c:pt idx="14">
                  <c:v>0.70162329621809594</c:v>
                </c:pt>
                <c:pt idx="15">
                  <c:v>0.70162329621809594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1-40F9-9CC1-670BE05EF7EE}"/>
            </c:ext>
          </c:extLst>
        </c:ser>
        <c:ser>
          <c:idx val="2"/>
          <c:order val="2"/>
          <c:tx>
            <c:strRef>
              <c:f>Grayscale!$M$1</c:f>
              <c:strCache>
                <c:ptCount val="1"/>
                <c:pt idx="0">
                  <c:v>Down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Grayscale!$M$2:$M$17</c:f>
              <c:numCache>
                <c:formatCode>0.000</c:formatCode>
                <c:ptCount val="16"/>
                <c:pt idx="0">
                  <c:v>0.69562329621809593</c:v>
                </c:pt>
                <c:pt idx="1">
                  <c:v>0.69562329621809593</c:v>
                </c:pt>
                <c:pt idx="2">
                  <c:v>0.69562329621809593</c:v>
                </c:pt>
                <c:pt idx="3">
                  <c:v>0.69562329621809593</c:v>
                </c:pt>
                <c:pt idx="4">
                  <c:v>0.69562329621809593</c:v>
                </c:pt>
                <c:pt idx="5">
                  <c:v>0.69562329621809593</c:v>
                </c:pt>
                <c:pt idx="6">
                  <c:v>0.69562329621809593</c:v>
                </c:pt>
                <c:pt idx="7">
                  <c:v>0.69562329621809593</c:v>
                </c:pt>
                <c:pt idx="8">
                  <c:v>0.69562329621809593</c:v>
                </c:pt>
                <c:pt idx="9">
                  <c:v>0.69562329621809593</c:v>
                </c:pt>
                <c:pt idx="10">
                  <c:v>0.69562329621809593</c:v>
                </c:pt>
                <c:pt idx="11">
                  <c:v>0.69562329621809593</c:v>
                </c:pt>
                <c:pt idx="12">
                  <c:v>0.69562329621809593</c:v>
                </c:pt>
                <c:pt idx="13">
                  <c:v>0.69562329621809593</c:v>
                </c:pt>
                <c:pt idx="14">
                  <c:v>0.69562329621809593</c:v>
                </c:pt>
                <c:pt idx="15">
                  <c:v>0.69562329621809593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1-40F9-9CC1-670BE05EF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86872"/>
        <c:axId val="189990400"/>
      </c:scatterChart>
      <c:valAx>
        <c:axId val="189986872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990400"/>
        <c:crosses val="autoZero"/>
        <c:crossBetween val="midCat"/>
        <c:majorUnit val="16"/>
      </c:valAx>
      <c:valAx>
        <c:axId val="18999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9986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Grayscale!$C$1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Grayscale!$C$2:$C$17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87-4822-8EEA-88843126A991}"/>
            </c:ext>
          </c:extLst>
        </c:ser>
        <c:ser>
          <c:idx val="1"/>
          <c:order val="1"/>
          <c:tx>
            <c:strRef>
              <c:f>Grayscale!$N$1</c:f>
              <c:strCache>
                <c:ptCount val="1"/>
                <c:pt idx="0">
                  <c:v>Up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Grayscale!$N$2:$N$17</c:f>
              <c:numCache>
                <c:formatCode>0.000</c:formatCode>
                <c:ptCount val="16"/>
                <c:pt idx="0">
                  <c:v>0.3042692481994953</c:v>
                </c:pt>
                <c:pt idx="1">
                  <c:v>0.3042692481994953</c:v>
                </c:pt>
                <c:pt idx="2">
                  <c:v>0.3042692481994953</c:v>
                </c:pt>
                <c:pt idx="3">
                  <c:v>0.3042692481994953</c:v>
                </c:pt>
                <c:pt idx="4">
                  <c:v>0.3042692481994953</c:v>
                </c:pt>
                <c:pt idx="5">
                  <c:v>0.3042692481994953</c:v>
                </c:pt>
                <c:pt idx="6">
                  <c:v>0.3042692481994953</c:v>
                </c:pt>
                <c:pt idx="7">
                  <c:v>0.3042692481994953</c:v>
                </c:pt>
                <c:pt idx="8">
                  <c:v>0.3042692481994953</c:v>
                </c:pt>
                <c:pt idx="9">
                  <c:v>0.3042692481994953</c:v>
                </c:pt>
                <c:pt idx="10">
                  <c:v>0.3042692481994953</c:v>
                </c:pt>
                <c:pt idx="11">
                  <c:v>0.3042692481994953</c:v>
                </c:pt>
                <c:pt idx="12">
                  <c:v>0.3042692481994953</c:v>
                </c:pt>
                <c:pt idx="13">
                  <c:v>0.3042692481994953</c:v>
                </c:pt>
                <c:pt idx="14">
                  <c:v>0.3042692481994953</c:v>
                </c:pt>
                <c:pt idx="15">
                  <c:v>0.3042692481994953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87-4822-8EEA-88843126A991}"/>
            </c:ext>
          </c:extLst>
        </c:ser>
        <c:ser>
          <c:idx val="2"/>
          <c:order val="2"/>
          <c:tx>
            <c:strRef>
              <c:f>Grayscale!$O$1</c:f>
              <c:strCache>
                <c:ptCount val="1"/>
                <c:pt idx="0">
                  <c:v>Down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Grayscale!$O$2:$O$17</c:f>
              <c:numCache>
                <c:formatCode>0.000</c:formatCode>
                <c:ptCount val="16"/>
                <c:pt idx="0">
                  <c:v>0.30177511329098988</c:v>
                </c:pt>
                <c:pt idx="1">
                  <c:v>0.30177511329098988</c:v>
                </c:pt>
                <c:pt idx="2">
                  <c:v>0.30177511329098988</c:v>
                </c:pt>
                <c:pt idx="3">
                  <c:v>0.30177511329098988</c:v>
                </c:pt>
                <c:pt idx="4">
                  <c:v>0.30177511329098988</c:v>
                </c:pt>
                <c:pt idx="5">
                  <c:v>106.38</c:v>
                </c:pt>
                <c:pt idx="6">
                  <c:v>97.35</c:v>
                </c:pt>
                <c:pt idx="7">
                  <c:v>0.30177511329098988</c:v>
                </c:pt>
                <c:pt idx="8">
                  <c:v>0.30177511329098988</c:v>
                </c:pt>
                <c:pt idx="9">
                  <c:v>0.30177511329098988</c:v>
                </c:pt>
                <c:pt idx="10">
                  <c:v>0.30177511329098988</c:v>
                </c:pt>
                <c:pt idx="11">
                  <c:v>0.30177511329098988</c:v>
                </c:pt>
                <c:pt idx="12">
                  <c:v>0.30177511329098988</c:v>
                </c:pt>
                <c:pt idx="13">
                  <c:v>0.30177511329098988</c:v>
                </c:pt>
                <c:pt idx="14">
                  <c:v>0.30177511329098988</c:v>
                </c:pt>
                <c:pt idx="15">
                  <c:v>0.30177511329098988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87-4822-8EEA-88843126A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09808"/>
        <c:axId val="193105888"/>
      </c:scatterChart>
      <c:valAx>
        <c:axId val="193109808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05888"/>
        <c:crosses val="autoZero"/>
        <c:crossBetween val="midCat"/>
        <c:majorUnit val="16"/>
      </c:valAx>
      <c:valAx>
        <c:axId val="19310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09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Grayscale!$D$1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Grayscale!$D$2:$D$17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2D-43B9-A764-F41FC65B7CCA}"/>
            </c:ext>
          </c:extLst>
        </c:ser>
        <c:ser>
          <c:idx val="1"/>
          <c:order val="1"/>
          <c:tx>
            <c:strRef>
              <c:f>Grayscale!$P$1</c:f>
              <c:strCache>
                <c:ptCount val="1"/>
                <c:pt idx="0">
                  <c:v>Up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Grayscale!$P$2:$P$17</c:f>
              <c:numCache>
                <c:formatCode>0.000</c:formatCode>
                <c:ptCount val="16"/>
                <c:pt idx="0">
                  <c:v>0.19633939467425854</c:v>
                </c:pt>
                <c:pt idx="1">
                  <c:v>0.19633939467425854</c:v>
                </c:pt>
                <c:pt idx="2">
                  <c:v>0.19633939467425854</c:v>
                </c:pt>
                <c:pt idx="3">
                  <c:v>0.19633939467425854</c:v>
                </c:pt>
                <c:pt idx="4">
                  <c:v>0.19633939467425854</c:v>
                </c:pt>
                <c:pt idx="5">
                  <c:v>71.12</c:v>
                </c:pt>
                <c:pt idx="6">
                  <c:v>13.95</c:v>
                </c:pt>
                <c:pt idx="7">
                  <c:v>0.19633939467425854</c:v>
                </c:pt>
                <c:pt idx="8">
                  <c:v>0.19633939467425854</c:v>
                </c:pt>
                <c:pt idx="9">
                  <c:v>0.19633939467425854</c:v>
                </c:pt>
                <c:pt idx="10">
                  <c:v>0.19633939467425854</c:v>
                </c:pt>
                <c:pt idx="11">
                  <c:v>0.19633939467425854</c:v>
                </c:pt>
                <c:pt idx="12">
                  <c:v>0.19633939467425854</c:v>
                </c:pt>
                <c:pt idx="13">
                  <c:v>0.19633939467425854</c:v>
                </c:pt>
                <c:pt idx="14">
                  <c:v>0.19633939467425854</c:v>
                </c:pt>
                <c:pt idx="15">
                  <c:v>0.19633939467425854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2D-43B9-A764-F41FC65B7CCA}"/>
            </c:ext>
          </c:extLst>
        </c:ser>
        <c:ser>
          <c:idx val="2"/>
          <c:order val="2"/>
          <c:tx>
            <c:strRef>
              <c:f>Grayscale!$Q$1</c:f>
              <c:strCache>
                <c:ptCount val="1"/>
                <c:pt idx="0">
                  <c:v>Down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Grayscale!$Q$2:$Q$17</c:f>
              <c:numCache>
                <c:formatCode>0.000</c:formatCode>
                <c:ptCount val="16"/>
                <c:pt idx="0">
                  <c:v>0.19033939467425853</c:v>
                </c:pt>
                <c:pt idx="1">
                  <c:v>0.19033939467425853</c:v>
                </c:pt>
                <c:pt idx="2">
                  <c:v>0.19033939467425853</c:v>
                </c:pt>
                <c:pt idx="3">
                  <c:v>0.19033939467425853</c:v>
                </c:pt>
                <c:pt idx="4">
                  <c:v>0.19033939467425853</c:v>
                </c:pt>
                <c:pt idx="5">
                  <c:v>0.19033939467425853</c:v>
                </c:pt>
                <c:pt idx="6">
                  <c:v>0.19033939467425853</c:v>
                </c:pt>
                <c:pt idx="7">
                  <c:v>0.19033939467425853</c:v>
                </c:pt>
                <c:pt idx="8">
                  <c:v>0.19033939467425853</c:v>
                </c:pt>
                <c:pt idx="9">
                  <c:v>0.19033939467425853</c:v>
                </c:pt>
                <c:pt idx="10">
                  <c:v>0.19033939467425853</c:v>
                </c:pt>
                <c:pt idx="11">
                  <c:v>0.19033939467425853</c:v>
                </c:pt>
                <c:pt idx="12">
                  <c:v>0.19033939467425853</c:v>
                </c:pt>
                <c:pt idx="13">
                  <c:v>0.19033939467425853</c:v>
                </c:pt>
                <c:pt idx="14">
                  <c:v>0.19033939467425853</c:v>
                </c:pt>
                <c:pt idx="15">
                  <c:v>0.19033939467425853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2D-43B9-A764-F41FC65B7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08632"/>
        <c:axId val="193112160"/>
      </c:scatterChart>
      <c:valAx>
        <c:axId val="193108632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12160"/>
        <c:crosses val="autoZero"/>
        <c:crossBetween val="midCat"/>
        <c:majorUnit val="16"/>
      </c:valAx>
      <c:valAx>
        <c:axId val="19311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08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Grayscale!$E$1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Grayscale!$E$2:$E$17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E4-499F-A761-B8FB07FD1FB5}"/>
            </c:ext>
          </c:extLst>
        </c:ser>
        <c:ser>
          <c:idx val="1"/>
          <c:order val="1"/>
          <c:tx>
            <c:strRef>
              <c:f>Grayscale!$R$1</c:f>
              <c:strCache>
                <c:ptCount val="1"/>
                <c:pt idx="0">
                  <c:v>Up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Grayscale!$R$2:$R$17</c:f>
              <c:numCache>
                <c:formatCode>0.000</c:formatCode>
                <c:ptCount val="16"/>
                <c:pt idx="0">
                  <c:v>0.75362358196963009</c:v>
                </c:pt>
                <c:pt idx="1">
                  <c:v>0.75362358196963009</c:v>
                </c:pt>
                <c:pt idx="2">
                  <c:v>0.75362358196963009</c:v>
                </c:pt>
                <c:pt idx="3">
                  <c:v>0.75362358196963009</c:v>
                </c:pt>
                <c:pt idx="4">
                  <c:v>0.75362358196963009</c:v>
                </c:pt>
                <c:pt idx="5">
                  <c:v>0.75362358196963009</c:v>
                </c:pt>
                <c:pt idx="6">
                  <c:v>0.75362358196963009</c:v>
                </c:pt>
                <c:pt idx="7">
                  <c:v>0.75362358196963009</c:v>
                </c:pt>
                <c:pt idx="8">
                  <c:v>0.75362358196963009</c:v>
                </c:pt>
                <c:pt idx="9">
                  <c:v>0.75362358196963009</c:v>
                </c:pt>
                <c:pt idx="10">
                  <c:v>0.75362358196963009</c:v>
                </c:pt>
                <c:pt idx="11">
                  <c:v>0.75362358196963009</c:v>
                </c:pt>
                <c:pt idx="12">
                  <c:v>0.75362358196963009</c:v>
                </c:pt>
                <c:pt idx="13">
                  <c:v>0.75362358196963009</c:v>
                </c:pt>
                <c:pt idx="14">
                  <c:v>0.75362358196963009</c:v>
                </c:pt>
                <c:pt idx="15">
                  <c:v>0.75362358196963009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E4-499F-A761-B8FB07FD1FB5}"/>
            </c:ext>
          </c:extLst>
        </c:ser>
        <c:ser>
          <c:idx val="2"/>
          <c:order val="2"/>
          <c:tx>
            <c:strRef>
              <c:f>Grayscale!$S$1</c:f>
              <c:strCache>
                <c:ptCount val="1"/>
                <c:pt idx="0">
                  <c:v>Down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Grayscale!$S$2:$S$17</c:f>
              <c:numCache>
                <c:formatCode>0.000</c:formatCode>
                <c:ptCount val="16"/>
                <c:pt idx="0">
                  <c:v>0.74762358196963008</c:v>
                </c:pt>
                <c:pt idx="1">
                  <c:v>0.74762358196963008</c:v>
                </c:pt>
                <c:pt idx="2">
                  <c:v>0.74762358196963008</c:v>
                </c:pt>
                <c:pt idx="3">
                  <c:v>0.74762358196963008</c:v>
                </c:pt>
                <c:pt idx="4">
                  <c:v>0.74762358196963008</c:v>
                </c:pt>
                <c:pt idx="5">
                  <c:v>0.74762358196963008</c:v>
                </c:pt>
                <c:pt idx="6">
                  <c:v>0.74762358196963008</c:v>
                </c:pt>
                <c:pt idx="7">
                  <c:v>0.74762358196963008</c:v>
                </c:pt>
                <c:pt idx="8">
                  <c:v>0.74762358196963008</c:v>
                </c:pt>
                <c:pt idx="9">
                  <c:v>0.74762358196963008</c:v>
                </c:pt>
                <c:pt idx="10">
                  <c:v>0.74762358196963008</c:v>
                </c:pt>
                <c:pt idx="11">
                  <c:v>0.74762358196963008</c:v>
                </c:pt>
                <c:pt idx="12">
                  <c:v>0.74762358196963008</c:v>
                </c:pt>
                <c:pt idx="13">
                  <c:v>0.74762358196963008</c:v>
                </c:pt>
                <c:pt idx="14">
                  <c:v>0.74762358196963008</c:v>
                </c:pt>
                <c:pt idx="15">
                  <c:v>0.74762358196963008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E4-499F-A761-B8FB07FD1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09024"/>
        <c:axId val="193110984"/>
      </c:scatterChart>
      <c:valAx>
        <c:axId val="193109024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10984"/>
        <c:crosses val="autoZero"/>
        <c:crossBetween val="midCat"/>
        <c:majorUnit val="16"/>
      </c:valAx>
      <c:valAx>
        <c:axId val="193110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0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Grayscale!$F$1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Grayscale!$F$2:$F$17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CD-44E1-8831-AC96B862C270}"/>
            </c:ext>
          </c:extLst>
        </c:ser>
        <c:ser>
          <c:idx val="1"/>
          <c:order val="1"/>
          <c:tx>
            <c:strRef>
              <c:f>Grayscale!$T$1</c:f>
              <c:strCache>
                <c:ptCount val="1"/>
                <c:pt idx="0">
                  <c:v>Up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Grayscale!$T$2:$T$17</c:f>
              <c:numCache>
                <c:formatCode>0.000</c:formatCode>
                <c:ptCount val="16"/>
                <c:pt idx="0">
                  <c:v>0.14098707917453837</c:v>
                </c:pt>
                <c:pt idx="1">
                  <c:v>0.14098707917453837</c:v>
                </c:pt>
                <c:pt idx="2">
                  <c:v>0.14098707917453837</c:v>
                </c:pt>
                <c:pt idx="3">
                  <c:v>0.14098707917453837</c:v>
                </c:pt>
                <c:pt idx="4">
                  <c:v>0.14098707917453837</c:v>
                </c:pt>
                <c:pt idx="5">
                  <c:v>0.14098707917453837</c:v>
                </c:pt>
                <c:pt idx="6">
                  <c:v>0.14098707917453837</c:v>
                </c:pt>
                <c:pt idx="7">
                  <c:v>0.14098707917453837</c:v>
                </c:pt>
                <c:pt idx="8">
                  <c:v>0.14098707917453837</c:v>
                </c:pt>
                <c:pt idx="9">
                  <c:v>0.14098707917453837</c:v>
                </c:pt>
                <c:pt idx="10">
                  <c:v>0.14098707917453837</c:v>
                </c:pt>
                <c:pt idx="11">
                  <c:v>0.14098707917453837</c:v>
                </c:pt>
                <c:pt idx="12">
                  <c:v>0.14098707917453837</c:v>
                </c:pt>
                <c:pt idx="13">
                  <c:v>0.14098707917453837</c:v>
                </c:pt>
                <c:pt idx="14">
                  <c:v>0.14098707917453837</c:v>
                </c:pt>
                <c:pt idx="15">
                  <c:v>0.14098707917453837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CD-44E1-8831-AC96B862C270}"/>
            </c:ext>
          </c:extLst>
        </c:ser>
        <c:ser>
          <c:idx val="2"/>
          <c:order val="2"/>
          <c:tx>
            <c:strRef>
              <c:f>Grayscale!$U$1</c:f>
              <c:strCache>
                <c:ptCount val="1"/>
                <c:pt idx="0">
                  <c:v>Down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Grayscale!$U$2:$U$17</c:f>
              <c:numCache>
                <c:formatCode>0.000</c:formatCode>
                <c:ptCount val="16"/>
                <c:pt idx="0">
                  <c:v>0.13498707917453837</c:v>
                </c:pt>
                <c:pt idx="1">
                  <c:v>0.13498707917453837</c:v>
                </c:pt>
                <c:pt idx="2">
                  <c:v>0.13498707917453837</c:v>
                </c:pt>
                <c:pt idx="3">
                  <c:v>0.13498707917453837</c:v>
                </c:pt>
                <c:pt idx="4">
                  <c:v>0.13498707917453837</c:v>
                </c:pt>
                <c:pt idx="5">
                  <c:v>0.13498707917453837</c:v>
                </c:pt>
                <c:pt idx="6">
                  <c:v>0.13498707917453837</c:v>
                </c:pt>
                <c:pt idx="7">
                  <c:v>0.13498707917453837</c:v>
                </c:pt>
                <c:pt idx="8">
                  <c:v>0.13498707917453837</c:v>
                </c:pt>
                <c:pt idx="9">
                  <c:v>0.13498707917453837</c:v>
                </c:pt>
                <c:pt idx="10">
                  <c:v>0.13498707917453837</c:v>
                </c:pt>
                <c:pt idx="11">
                  <c:v>0.13498707917453837</c:v>
                </c:pt>
                <c:pt idx="12">
                  <c:v>0.13498707917453837</c:v>
                </c:pt>
                <c:pt idx="13">
                  <c:v>0.13498707917453837</c:v>
                </c:pt>
                <c:pt idx="14">
                  <c:v>0.13498707917453837</c:v>
                </c:pt>
                <c:pt idx="15">
                  <c:v>0.13498707917453837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CD-44E1-8831-AC96B862C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13336"/>
        <c:axId val="193107064"/>
      </c:scatterChart>
      <c:valAx>
        <c:axId val="193113336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07064"/>
        <c:crosses val="autoZero"/>
        <c:crossBetween val="midCat"/>
        <c:majorUnit val="16"/>
      </c:valAx>
      <c:valAx>
        <c:axId val="19310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13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Grayscale!$G$1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Grayscale!$G$2:$G$17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6F-4DCB-9E08-9634A8054990}"/>
            </c:ext>
          </c:extLst>
        </c:ser>
        <c:ser>
          <c:idx val="1"/>
          <c:order val="1"/>
          <c:tx>
            <c:strRef>
              <c:f>Grayscale!$V$1</c:f>
              <c:strCache>
                <c:ptCount val="1"/>
                <c:pt idx="0">
                  <c:v>Up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Grayscale!$V$2:$V$17</c:f>
              <c:numCache>
                <c:formatCode>0.000</c:formatCode>
                <c:ptCount val="16"/>
                <c:pt idx="0">
                  <c:v>4.6641263965510792E-2</c:v>
                </c:pt>
                <c:pt idx="1">
                  <c:v>4.6641263965510792E-2</c:v>
                </c:pt>
                <c:pt idx="2">
                  <c:v>4.6641263965510792E-2</c:v>
                </c:pt>
                <c:pt idx="3">
                  <c:v>4.6641263965510792E-2</c:v>
                </c:pt>
                <c:pt idx="4">
                  <c:v>4.6641263965510792E-2</c:v>
                </c:pt>
                <c:pt idx="5">
                  <c:v>4.6641263965510792E-2</c:v>
                </c:pt>
                <c:pt idx="6">
                  <c:v>4.6641263965510792E-2</c:v>
                </c:pt>
                <c:pt idx="7">
                  <c:v>4.6641263965510792E-2</c:v>
                </c:pt>
                <c:pt idx="8">
                  <c:v>4.6641263965510792E-2</c:v>
                </c:pt>
                <c:pt idx="9">
                  <c:v>4.6641263965510792E-2</c:v>
                </c:pt>
                <c:pt idx="10">
                  <c:v>4.6641263965510792E-2</c:v>
                </c:pt>
                <c:pt idx="11">
                  <c:v>4.6641263965510792E-2</c:v>
                </c:pt>
                <c:pt idx="12">
                  <c:v>4.6641263965510792E-2</c:v>
                </c:pt>
                <c:pt idx="13">
                  <c:v>4.6641263965510792E-2</c:v>
                </c:pt>
                <c:pt idx="14">
                  <c:v>4.6641263965510792E-2</c:v>
                </c:pt>
                <c:pt idx="15">
                  <c:v>4.6641263965510792E-2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6F-4DCB-9E08-9634A8054990}"/>
            </c:ext>
          </c:extLst>
        </c:ser>
        <c:ser>
          <c:idx val="2"/>
          <c:order val="2"/>
          <c:tx>
            <c:strRef>
              <c:f>Grayscale!$W$1</c:f>
              <c:strCache>
                <c:ptCount val="1"/>
                <c:pt idx="0">
                  <c:v>Down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Grayscale!$A$2:$A$17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Grayscale!$W$2:$W$17</c:f>
              <c:numCache>
                <c:formatCode>0.000</c:formatCode>
                <c:ptCount val="16"/>
                <c:pt idx="0">
                  <c:v>4.0641263965510786E-2</c:v>
                </c:pt>
                <c:pt idx="1">
                  <c:v>4.0641263965510786E-2</c:v>
                </c:pt>
                <c:pt idx="2">
                  <c:v>4.0641263965510786E-2</c:v>
                </c:pt>
                <c:pt idx="3">
                  <c:v>4.0641263965510786E-2</c:v>
                </c:pt>
                <c:pt idx="4">
                  <c:v>4.0641263965510786E-2</c:v>
                </c:pt>
                <c:pt idx="5">
                  <c:v>4.0641263965510786E-2</c:v>
                </c:pt>
                <c:pt idx="6">
                  <c:v>4.0641263965510786E-2</c:v>
                </c:pt>
                <c:pt idx="7">
                  <c:v>4.0641263965510786E-2</c:v>
                </c:pt>
                <c:pt idx="8">
                  <c:v>4.0641263965510786E-2</c:v>
                </c:pt>
                <c:pt idx="9">
                  <c:v>4.0641263965510786E-2</c:v>
                </c:pt>
                <c:pt idx="10">
                  <c:v>4.0641263965510786E-2</c:v>
                </c:pt>
                <c:pt idx="11">
                  <c:v>4.0641263965510786E-2</c:v>
                </c:pt>
                <c:pt idx="12">
                  <c:v>4.0641263965510786E-2</c:v>
                </c:pt>
                <c:pt idx="13">
                  <c:v>4.0641263965510786E-2</c:v>
                </c:pt>
                <c:pt idx="14">
                  <c:v>4.0641263965510786E-2</c:v>
                </c:pt>
                <c:pt idx="15">
                  <c:v>4.0641263965510786E-2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6F-4DCB-9E08-9634A8054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07848"/>
        <c:axId val="193110200"/>
      </c:scatterChart>
      <c:valAx>
        <c:axId val="193107848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10200"/>
        <c:crosses val="autoZero"/>
        <c:crossBetween val="midCat"/>
        <c:majorUnit val="16"/>
      </c:valAx>
      <c:valAx>
        <c:axId val="193110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07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Ratio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Grayscale!$B$19</c:f>
              <c:strCache>
                <c:ptCount val="1"/>
                <c:pt idx="0">
                  <c:v>Ratio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Grayscale!$A$20:$A$35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Grayscale!$B$20:$B$35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78-4A8E-9975-895F8A8C5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11376"/>
        <c:axId val="193111768"/>
      </c:scatterChart>
      <c:valAx>
        <c:axId val="193111376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11768"/>
        <c:crosses val="autoZero"/>
        <c:crossBetween val="midCat"/>
        <c:majorUnit val="16"/>
      </c:valAx>
      <c:valAx>
        <c:axId val="193111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11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Yield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Grayscale!$E$19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Grayscale!$A$20:$A$35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Grayscale!$E$20:$E$35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84-49A7-B5CE-D984C090F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12944"/>
        <c:axId val="193274912"/>
      </c:scatterChart>
      <c:valAx>
        <c:axId val="193112944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4912"/>
        <c:crosses val="autoZero"/>
        <c:crossBetween val="midCat"/>
        <c:majorUnit val="16"/>
      </c:valAx>
      <c:valAx>
        <c:axId val="19327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11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Ratio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Grayscale!$F$19</c:f>
              <c:strCache>
                <c:ptCount val="1"/>
                <c:pt idx="0">
                  <c:v>Ratio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Grayscale!$A$20:$A$35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Grayscale!$F$20:$F$35</c:f>
              <c:numCache>
                <c:formatCode>0.00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58-4E30-A868-3CE44794D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76872"/>
        <c:axId val="193274520"/>
      </c:scatterChart>
      <c:valAx>
        <c:axId val="193276872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4520"/>
        <c:crosses val="autoZero"/>
        <c:crossBetween val="midCat"/>
        <c:majorUnit val="16"/>
      </c:valAx>
      <c:valAx>
        <c:axId val="193274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6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Yield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Grayscale!$I$19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Grayscale!$A$20:$A$35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Grayscale!$I$20:$I$35</c:f>
              <c:numCache>
                <c:formatCode>0.00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A0-4396-BA66-39ED90D4C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75696"/>
        <c:axId val="193274128"/>
      </c:scatterChart>
      <c:valAx>
        <c:axId val="193275696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4128"/>
        <c:crosses val="autoZero"/>
        <c:crossBetween val="midCat"/>
        <c:majorUnit val="16"/>
      </c:valAx>
      <c:valAx>
        <c:axId val="19327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5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Ratio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Grayscale!$J$19</c:f>
              <c:strCache>
                <c:ptCount val="1"/>
                <c:pt idx="0">
                  <c:v>Ratio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Grayscale!$A$20:$A$35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Grayscale!$J$20:$J$35</c:f>
              <c:numCache>
                <c:formatCode>0.00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5B-404B-832A-CD84056C6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77264"/>
        <c:axId val="193263544"/>
      </c:scatterChart>
      <c:valAx>
        <c:axId val="193277264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3544"/>
        <c:crosses val="autoZero"/>
        <c:crossBetween val="midCat"/>
        <c:majorUnit val="16"/>
      </c:valAx>
      <c:valAx>
        <c:axId val="193263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Yield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Grayscale!$M$19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Grayscale!$A$20:$A$35</c:f>
              <c:numCache>
                <c:formatCode>General</c:formatCode>
                <c:ptCount val="16"/>
                <c:pt idx="0">
                  <c:v>16</c:v>
                </c:pt>
                <c:pt idx="1">
                  <c:v>32</c:v>
                </c:pt>
                <c:pt idx="2">
                  <c:v>48</c:v>
                </c:pt>
                <c:pt idx="3">
                  <c:v>64</c:v>
                </c:pt>
                <c:pt idx="4">
                  <c:v>80</c:v>
                </c:pt>
                <c:pt idx="5">
                  <c:v>96</c:v>
                </c:pt>
                <c:pt idx="6">
                  <c:v>112</c:v>
                </c:pt>
                <c:pt idx="7">
                  <c:v>128</c:v>
                </c:pt>
                <c:pt idx="8">
                  <c:v>144</c:v>
                </c:pt>
                <c:pt idx="9">
                  <c:v>160</c:v>
                </c:pt>
                <c:pt idx="10">
                  <c:v>176</c:v>
                </c:pt>
                <c:pt idx="11">
                  <c:v>192</c:v>
                </c:pt>
                <c:pt idx="12">
                  <c:v>208</c:v>
                </c:pt>
                <c:pt idx="13">
                  <c:v>224</c:v>
                </c:pt>
                <c:pt idx="14">
                  <c:v>240</c:v>
                </c:pt>
                <c:pt idx="15">
                  <c:v>256</c:v>
                </c:pt>
              </c:numCache>
            </c:numRef>
          </c:xVal>
          <c:yVal>
            <c:numRef>
              <c:f>Grayscale!$M$20:$M$35</c:f>
              <c:numCache>
                <c:formatCode>0.00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40-4F6D-BA52-24B56338E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71384"/>
        <c:axId val="193267072"/>
      </c:scatterChart>
      <c:valAx>
        <c:axId val="193271384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7072"/>
        <c:crosses val="autoZero"/>
        <c:crossBetween val="midCat"/>
        <c:majorUnit val="16"/>
      </c:valAx>
      <c:valAx>
        <c:axId val="1932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1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Current vs Yield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OpticalData!$B$2:$B$85</c:f>
              <c:numCache>
                <c:formatCode>General</c:formatCode>
                <c:ptCount val="84"/>
                <c:pt idx="0">
                  <c:v>1.54215552E-6</c:v>
                </c:pt>
                <c:pt idx="1">
                  <c:v>1.0623544E-6</c:v>
                </c:pt>
                <c:pt idx="2">
                  <c:v>2.9603856000000001E-7</c:v>
                </c:pt>
                <c:pt idx="3">
                  <c:v>1.5657265600000001E-9</c:v>
                </c:pt>
                <c:pt idx="4">
                  <c:v>5.8767120000000005E-8</c:v>
                </c:pt>
                <c:pt idx="5">
                  <c:v>1.0334695999999999E-7</c:v>
                </c:pt>
                <c:pt idx="6">
                  <c:v>1.8299279999999999E-7</c:v>
                </c:pt>
                <c:pt idx="7">
                  <c:v>3.5702976000000004E-7</c:v>
                </c:pt>
                <c:pt idx="8">
                  <c:v>4.2305504000000004E-7</c:v>
                </c:pt>
                <c:pt idx="9">
                  <c:v>1.7064848E-7</c:v>
                </c:pt>
                <c:pt idx="10">
                  <c:v>1.6467535999999999E-6</c:v>
                </c:pt>
                <c:pt idx="11">
                  <c:v>4.3807920000000008E-7</c:v>
                </c:pt>
                <c:pt idx="12">
                  <c:v>5.2352207999999998E-8</c:v>
                </c:pt>
                <c:pt idx="13">
                  <c:v>3.0427776000000001E-8</c:v>
                </c:pt>
                <c:pt idx="14">
                  <c:v>3.3026223999999999E-8</c:v>
                </c:pt>
                <c:pt idx="15">
                  <c:v>1.4133096E-7</c:v>
                </c:pt>
                <c:pt idx="16">
                  <c:v>4.4147088000000001E-7</c:v>
                </c:pt>
                <c:pt idx="17">
                  <c:v>9.7987616E-8</c:v>
                </c:pt>
                <c:pt idx="18">
                  <c:v>3.1564560000000004E-8</c:v>
                </c:pt>
                <c:pt idx="19">
                  <c:v>2.8397680000000001E-8</c:v>
                </c:pt>
                <c:pt idx="20">
                  <c:v>1.7401727999999999E-8</c:v>
                </c:pt>
                <c:pt idx="21">
                  <c:v>4.6394384000000002E-8</c:v>
                </c:pt>
                <c:pt idx="22">
                  <c:v>2.0521151999999998E-8</c:v>
                </c:pt>
                <c:pt idx="23">
                  <c:v>1.39508896E-10</c:v>
                </c:pt>
                <c:pt idx="24">
                  <c:v>4.4770128000000004E-8</c:v>
                </c:pt>
                <c:pt idx="25">
                  <c:v>2.9003680000000002E-9</c:v>
                </c:pt>
                <c:pt idx="26">
                  <c:v>1.9257567999999999E-7</c:v>
                </c:pt>
                <c:pt idx="27">
                  <c:v>5.0346671999999999E-6</c:v>
                </c:pt>
                <c:pt idx="28">
                  <c:v>2.2421183999999999E-6</c:v>
                </c:pt>
                <c:pt idx="29">
                  <c:v>8.2497248000000006E-7</c:v>
                </c:pt>
                <c:pt idx="30">
                  <c:v>8.0085232000000008E-7</c:v>
                </c:pt>
                <c:pt idx="31">
                  <c:v>4.4526479999999999E-8</c:v>
                </c:pt>
                <c:pt idx="32">
                  <c:v>3.4444160000000001E-7</c:v>
                </c:pt>
                <c:pt idx="33">
                  <c:v>2.0965872000000001E-6</c:v>
                </c:pt>
                <c:pt idx="34">
                  <c:v>6.6474096E-7</c:v>
                </c:pt>
                <c:pt idx="35">
                  <c:v>3.5593183999999999E-8</c:v>
                </c:pt>
                <c:pt idx="36">
                  <c:v>1.2484486400000001E-7</c:v>
                </c:pt>
                <c:pt idx="37">
                  <c:v>2.9745919999999998E-8</c:v>
                </c:pt>
                <c:pt idx="38">
                  <c:v>1.3850716799999998E-7</c:v>
                </c:pt>
                <c:pt idx="39">
                  <c:v>4.0785296000000003E-7</c:v>
                </c:pt>
                <c:pt idx="40">
                  <c:v>1.5141812799999997E-7</c:v>
                </c:pt>
                <c:pt idx="41">
                  <c:v>1.12641328E-8</c:v>
                </c:pt>
                <c:pt idx="42">
                  <c:v>8.2127616000000003E-8</c:v>
                </c:pt>
                <c:pt idx="43">
                  <c:v>3.3838208000000002E-8</c:v>
                </c:pt>
                <c:pt idx="44">
                  <c:v>6.477600000000001E-8</c:v>
                </c:pt>
                <c:pt idx="45">
                  <c:v>6.469476799999999E-8</c:v>
                </c:pt>
                <c:pt idx="46">
                  <c:v>7.2652576000000006E-8</c:v>
                </c:pt>
                <c:pt idx="47">
                  <c:v>2.758568E-8</c:v>
                </c:pt>
                <c:pt idx="48">
                  <c:v>4.7224592000000003E-7</c:v>
                </c:pt>
                <c:pt idx="49">
                  <c:v>1.4427697600000002E-6</c:v>
                </c:pt>
                <c:pt idx="50">
                  <c:v>1.35466576E-6</c:v>
                </c:pt>
                <c:pt idx="51">
                  <c:v>3.0427744000000004E-8</c:v>
                </c:pt>
                <c:pt idx="52">
                  <c:v>3.4139247999999998E-6</c:v>
                </c:pt>
                <c:pt idx="53">
                  <c:v>7.0846128000000002E-7</c:v>
                </c:pt>
                <c:pt idx="54">
                  <c:v>3.6489728000000002E-7</c:v>
                </c:pt>
                <c:pt idx="55">
                  <c:v>9.1629375999999994E-8</c:v>
                </c:pt>
                <c:pt idx="56">
                  <c:v>3.1869743999999999E-7</c:v>
                </c:pt>
                <c:pt idx="57">
                  <c:v>1.0129345599999999E-7</c:v>
                </c:pt>
                <c:pt idx="58">
                  <c:v>8.5706000000000008E-7</c:v>
                </c:pt>
                <c:pt idx="59">
                  <c:v>1.00972E-6</c:v>
                </c:pt>
                <c:pt idx="60">
                  <c:v>2.3224255999999997E-6</c:v>
                </c:pt>
                <c:pt idx="61">
                  <c:v>5.9362240000000007E-6</c:v>
                </c:pt>
                <c:pt idx="62">
                  <c:v>1.5197681600000001E-5</c:v>
                </c:pt>
                <c:pt idx="63">
                  <c:v>3.9068304000000004E-5</c:v>
                </c:pt>
                <c:pt idx="64">
                  <c:v>1.03013616E-4</c:v>
                </c:pt>
                <c:pt idx="65">
                  <c:v>2.600096E-4</c:v>
                </c:pt>
                <c:pt idx="66">
                  <c:v>6.3719568000000001E-4</c:v>
                </c:pt>
                <c:pt idx="67">
                  <c:v>1.48998768E-3</c:v>
                </c:pt>
                <c:pt idx="68">
                  <c:v>3.4622432000000003E-3</c:v>
                </c:pt>
                <c:pt idx="69">
                  <c:v>8.0791648000000001E-3</c:v>
                </c:pt>
                <c:pt idx="70">
                  <c:v>2.1588080000000003E-2</c:v>
                </c:pt>
                <c:pt idx="71">
                  <c:v>4.9937184000000003E-2</c:v>
                </c:pt>
                <c:pt idx="72">
                  <c:v>0.119275584</c:v>
                </c:pt>
                <c:pt idx="73">
                  <c:v>0.29363215999999998</c:v>
                </c:pt>
                <c:pt idx="74">
                  <c:v>0.66402528000000005</c:v>
                </c:pt>
                <c:pt idx="75">
                  <c:v>1.53516096</c:v>
                </c:pt>
                <c:pt idx="76">
                  <c:v>3.7959680000000002</c:v>
                </c:pt>
                <c:pt idx="77">
                  <c:v>9.7618799999999997</c:v>
                </c:pt>
                <c:pt idx="78">
                  <c:v>20.521360000000001</c:v>
                </c:pt>
                <c:pt idx="79">
                  <c:v>34.928832</c:v>
                </c:pt>
                <c:pt idx="80">
                  <c:v>51.292143999999993</c:v>
                </c:pt>
                <c:pt idx="81">
                  <c:v>67.828384000000014</c:v>
                </c:pt>
                <c:pt idx="82">
                  <c:v>84.999679999999998</c:v>
                </c:pt>
                <c:pt idx="83">
                  <c:v>103.62316800000001</c:v>
                </c:pt>
              </c:numCache>
            </c:numRef>
          </c:xVal>
          <c:yVal>
            <c:numRef>
              <c:f>OpticalData!$C$2:$C$85</c:f>
              <c:numCache>
                <c:formatCode>General</c:formatCode>
                <c:ptCount val="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0.72780720762728346</c:v>
                </c:pt>
                <c:pt idx="72">
                  <c:v>1.1070817333192464</c:v>
                </c:pt>
                <c:pt idx="73">
                  <c:v>1.618631948681027</c:v>
                </c:pt>
                <c:pt idx="74">
                  <c:v>2.2934298779444027</c:v>
                </c:pt>
                <c:pt idx="75">
                  <c:v>3.1856345586286938</c:v>
                </c:pt>
                <c:pt idx="76">
                  <c:v>4.8589891312594897</c:v>
                </c:pt>
                <c:pt idx="77">
                  <c:v>8.697790235039438</c:v>
                </c:pt>
                <c:pt idx="78">
                  <c:v>13.381309369781613</c:v>
                </c:pt>
                <c:pt idx="79">
                  <c:v>16.16476270173257</c:v>
                </c:pt>
                <c:pt idx="80">
                  <c:v>17.091617988488171</c:v>
                </c:pt>
                <c:pt idx="81">
                  <c:v>17.466997286412788</c:v>
                </c:pt>
                <c:pt idx="82">
                  <c:v>17.608962894820607</c:v>
                </c:pt>
                <c:pt idx="83">
                  <c:v>17.414336560980043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8A-4B11-B75E-ECEFE068037C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Grayscale!$D$20:$D$35</c:f>
              <c:numCache>
                <c:formatCode>0.00</c:formatCode>
                <c:ptCount val="16"/>
              </c:numCache>
            </c:numRef>
          </c:xVal>
          <c:yVal>
            <c:numRef>
              <c:f>Grayscale!$E$20:$E$35</c:f>
              <c:numCache>
                <c:formatCode>0.000</c:formatCode>
                <c:ptCount val="1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8A-4B11-B75E-ECEFE0680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2760"/>
        <c:axId val="193265896"/>
      </c:scatterChart>
      <c:valAx>
        <c:axId val="19326276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5896"/>
        <c:crosses val="autoZero"/>
        <c:crossBetween val="midCat"/>
      </c:valAx>
      <c:valAx>
        <c:axId val="193265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Yield (cd/A)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2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Current vs CIEx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OpticalData!$B$73:$B$85</c:f>
              <c:numCache>
                <c:formatCode>General</c:formatCode>
                <c:ptCount val="13"/>
                <c:pt idx="0">
                  <c:v>4.9937184000000003E-2</c:v>
                </c:pt>
                <c:pt idx="1">
                  <c:v>0.119275584</c:v>
                </c:pt>
                <c:pt idx="2">
                  <c:v>0.29363215999999998</c:v>
                </c:pt>
                <c:pt idx="3">
                  <c:v>0.66402528000000005</c:v>
                </c:pt>
                <c:pt idx="4">
                  <c:v>1.53516096</c:v>
                </c:pt>
                <c:pt idx="5">
                  <c:v>3.7959680000000002</c:v>
                </c:pt>
                <c:pt idx="6">
                  <c:v>9.7618799999999997</c:v>
                </c:pt>
                <c:pt idx="7">
                  <c:v>20.521360000000001</c:v>
                </c:pt>
                <c:pt idx="8">
                  <c:v>34.928832</c:v>
                </c:pt>
                <c:pt idx="9">
                  <c:v>51.292143999999993</c:v>
                </c:pt>
                <c:pt idx="10">
                  <c:v>67.828384000000014</c:v>
                </c:pt>
                <c:pt idx="11">
                  <c:v>84.999679999999998</c:v>
                </c:pt>
                <c:pt idx="12">
                  <c:v>103.62316800000001</c:v>
                </c:pt>
              </c:numCache>
            </c:numRef>
          </c:xVal>
          <c:yVal>
            <c:numRef>
              <c:f>OpticalData!$D$73:$D$85</c:f>
              <c:numCache>
                <c:formatCode>0.000</c:formatCode>
                <c:ptCount val="13"/>
                <c:pt idx="0">
                  <c:v>0.60948825253343164</c:v>
                </c:pt>
                <c:pt idx="1">
                  <c:v>0.67349603208636288</c:v>
                </c:pt>
                <c:pt idx="2">
                  <c:v>0.69150193887743494</c:v>
                </c:pt>
                <c:pt idx="3">
                  <c:v>0.69240622536823182</c:v>
                </c:pt>
                <c:pt idx="4">
                  <c:v>0.6925701418134862</c:v>
                </c:pt>
                <c:pt idx="5">
                  <c:v>0.69268811911685357</c:v>
                </c:pt>
                <c:pt idx="6">
                  <c:v>0.69274292558102701</c:v>
                </c:pt>
                <c:pt idx="7">
                  <c:v>0.69313742833636016</c:v>
                </c:pt>
                <c:pt idx="8">
                  <c:v>0.69363330642862608</c:v>
                </c:pt>
                <c:pt idx="9">
                  <c:v>0.69425799281362111</c:v>
                </c:pt>
                <c:pt idx="10">
                  <c:v>0.69482859133211883</c:v>
                </c:pt>
                <c:pt idx="11">
                  <c:v>0.69527114962932179</c:v>
                </c:pt>
                <c:pt idx="12">
                  <c:v>0.69595737437673055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2A-41DE-A6FE-9757BD9C5891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Grayscale!$D$20:$D$35</c:f>
              <c:numCache>
                <c:formatCode>0.00</c:formatCode>
                <c:ptCount val="16"/>
              </c:numCache>
            </c:numRef>
          </c:xVal>
          <c:yVal>
            <c:numRef>
              <c:f>Grayscale!$B$2:$B$17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2A-41DE-A6FE-9757BD9C5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7464"/>
        <c:axId val="193268248"/>
      </c:scatterChart>
      <c:valAx>
        <c:axId val="193267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8248"/>
        <c:crosses val="autoZero"/>
        <c:crossBetween val="midCat"/>
      </c:valAx>
      <c:valAx>
        <c:axId val="193268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CIEx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7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Current vs CIEy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OpticalData!$B$73:$B$85</c:f>
              <c:numCache>
                <c:formatCode>General</c:formatCode>
                <c:ptCount val="13"/>
                <c:pt idx="0">
                  <c:v>4.9937184000000003E-2</c:v>
                </c:pt>
                <c:pt idx="1">
                  <c:v>0.119275584</c:v>
                </c:pt>
                <c:pt idx="2">
                  <c:v>0.29363215999999998</c:v>
                </c:pt>
                <c:pt idx="3">
                  <c:v>0.66402528000000005</c:v>
                </c:pt>
                <c:pt idx="4">
                  <c:v>1.53516096</c:v>
                </c:pt>
                <c:pt idx="5">
                  <c:v>3.7959680000000002</c:v>
                </c:pt>
                <c:pt idx="6">
                  <c:v>9.7618799999999997</c:v>
                </c:pt>
                <c:pt idx="7">
                  <c:v>20.521360000000001</c:v>
                </c:pt>
                <c:pt idx="8">
                  <c:v>34.928832</c:v>
                </c:pt>
                <c:pt idx="9">
                  <c:v>51.292143999999993</c:v>
                </c:pt>
                <c:pt idx="10">
                  <c:v>67.828384000000014</c:v>
                </c:pt>
                <c:pt idx="11">
                  <c:v>84.999679999999998</c:v>
                </c:pt>
                <c:pt idx="12">
                  <c:v>103.62316800000001</c:v>
                </c:pt>
              </c:numCache>
            </c:numRef>
          </c:xVal>
          <c:yVal>
            <c:numRef>
              <c:f>OpticalData!$E$73:$E$85</c:f>
              <c:numCache>
                <c:formatCode>0.000</c:formatCode>
                <c:ptCount val="13"/>
                <c:pt idx="0">
                  <c:v>0.29390330389427044</c:v>
                </c:pt>
                <c:pt idx="1">
                  <c:v>0.3013077307708889</c:v>
                </c:pt>
                <c:pt idx="2">
                  <c:v>0.30803539046958633</c:v>
                </c:pt>
                <c:pt idx="3">
                  <c:v>0.3074604648578283</c:v>
                </c:pt>
                <c:pt idx="4">
                  <c:v>0.30729718203764583</c:v>
                </c:pt>
                <c:pt idx="5">
                  <c:v>0.30717974040477447</c:v>
                </c:pt>
                <c:pt idx="6">
                  <c:v>0.30712510888220329</c:v>
                </c:pt>
                <c:pt idx="7">
                  <c:v>0.30673218613351777</c:v>
                </c:pt>
                <c:pt idx="8">
                  <c:v>0.30623824934562471</c:v>
                </c:pt>
                <c:pt idx="9">
                  <c:v>0.30561604907650453</c:v>
                </c:pt>
                <c:pt idx="10">
                  <c:v>0.30504764483678865</c:v>
                </c:pt>
                <c:pt idx="11">
                  <c:v>0.30460663092842244</c:v>
                </c:pt>
                <c:pt idx="12">
                  <c:v>0.30392293459544634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0D-476F-BE40-F9DB8F01453D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Grayscale!$D$20:$D$35</c:f>
              <c:numCache>
                <c:formatCode>0.00</c:formatCode>
                <c:ptCount val="16"/>
              </c:numCache>
            </c:numRef>
          </c:xVal>
          <c:yVal>
            <c:numRef>
              <c:f>Grayscale!$C$2:$C$17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0D-476F-BE40-F9DB8F014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3152"/>
        <c:axId val="193272168"/>
      </c:scatterChart>
      <c:valAx>
        <c:axId val="193263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2168"/>
        <c:crosses val="autoZero"/>
        <c:crossBetween val="midCat"/>
      </c:valAx>
      <c:valAx>
        <c:axId val="19327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3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Voltage vs CIEx</a:t>
            </a:r>
            <a:endParaRPr lang="zh-TW" alt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OpticalData!$A$73:$A$85</c:f>
              <c:numCache>
                <c:formatCode>General</c:formatCode>
                <c:ptCount val="13"/>
                <c:pt idx="0">
                  <c:v>1.6</c:v>
                </c:pt>
                <c:pt idx="1">
                  <c:v>1.65</c:v>
                </c:pt>
                <c:pt idx="2">
                  <c:v>1.7</c:v>
                </c:pt>
                <c:pt idx="3">
                  <c:v>1.75</c:v>
                </c:pt>
                <c:pt idx="4">
                  <c:v>1.8</c:v>
                </c:pt>
                <c:pt idx="5">
                  <c:v>1.85</c:v>
                </c:pt>
                <c:pt idx="6">
                  <c:v>1.9</c:v>
                </c:pt>
                <c:pt idx="7">
                  <c:v>1.95</c:v>
                </c:pt>
                <c:pt idx="8">
                  <c:v>2</c:v>
                </c:pt>
                <c:pt idx="9">
                  <c:v>2.0499999999999998</c:v>
                </c:pt>
                <c:pt idx="10">
                  <c:v>2.1</c:v>
                </c:pt>
                <c:pt idx="11">
                  <c:v>2.15</c:v>
                </c:pt>
                <c:pt idx="12">
                  <c:v>2.2000000000000002</c:v>
                </c:pt>
              </c:numCache>
            </c:numRef>
          </c:xVal>
          <c:yVal>
            <c:numRef>
              <c:f>OpticalData!$D$73:$D$85</c:f>
              <c:numCache>
                <c:formatCode>0.000</c:formatCode>
                <c:ptCount val="13"/>
                <c:pt idx="0">
                  <c:v>0.60948825253343164</c:v>
                </c:pt>
                <c:pt idx="1">
                  <c:v>0.67349603208636288</c:v>
                </c:pt>
                <c:pt idx="2">
                  <c:v>0.69150193887743494</c:v>
                </c:pt>
                <c:pt idx="3">
                  <c:v>0.69240622536823182</c:v>
                </c:pt>
                <c:pt idx="4">
                  <c:v>0.6925701418134862</c:v>
                </c:pt>
                <c:pt idx="5">
                  <c:v>0.69268811911685357</c:v>
                </c:pt>
                <c:pt idx="6">
                  <c:v>0.69274292558102701</c:v>
                </c:pt>
                <c:pt idx="7">
                  <c:v>0.69313742833636016</c:v>
                </c:pt>
                <c:pt idx="8">
                  <c:v>0.69363330642862608</c:v>
                </c:pt>
                <c:pt idx="9">
                  <c:v>0.69425799281362111</c:v>
                </c:pt>
                <c:pt idx="10">
                  <c:v>0.69482859133211883</c:v>
                </c:pt>
                <c:pt idx="11">
                  <c:v>0.69527114962932179</c:v>
                </c:pt>
                <c:pt idx="12">
                  <c:v>0.69595737437673055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FA-4C64-AD79-E853B0287671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Grayscale!$C$20:$C$35</c:f>
              <c:numCache>
                <c:formatCode>0.00</c:formatCode>
                <c:ptCount val="16"/>
              </c:numCache>
            </c:numRef>
          </c:xVal>
          <c:yVal>
            <c:numRef>
              <c:f>Grayscale!$B$2:$B$17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FA-4C64-AD79-E853B0287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72952"/>
        <c:axId val="193264328"/>
      </c:scatterChart>
      <c:valAx>
        <c:axId val="193272952"/>
        <c:scaling>
          <c:orientation val="minMax"/>
          <c:max val="2.2000000000000002"/>
          <c:min val="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Voltage (V)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4328"/>
        <c:crosses val="autoZero"/>
        <c:crossBetween val="midCat"/>
      </c:valAx>
      <c:valAx>
        <c:axId val="193264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CIEx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2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FF0000"/>
                </a:solidFill>
              </a:rPr>
              <a:t>Voltage vs CIEy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OpticalData!$A$73:$A$85</c:f>
              <c:numCache>
                <c:formatCode>General</c:formatCode>
                <c:ptCount val="13"/>
                <c:pt idx="0">
                  <c:v>1.6</c:v>
                </c:pt>
                <c:pt idx="1">
                  <c:v>1.65</c:v>
                </c:pt>
                <c:pt idx="2">
                  <c:v>1.7</c:v>
                </c:pt>
                <c:pt idx="3">
                  <c:v>1.75</c:v>
                </c:pt>
                <c:pt idx="4">
                  <c:v>1.8</c:v>
                </c:pt>
                <c:pt idx="5">
                  <c:v>1.85</c:v>
                </c:pt>
                <c:pt idx="6">
                  <c:v>1.9</c:v>
                </c:pt>
                <c:pt idx="7">
                  <c:v>1.95</c:v>
                </c:pt>
                <c:pt idx="8">
                  <c:v>2</c:v>
                </c:pt>
                <c:pt idx="9">
                  <c:v>2.0499999999999998</c:v>
                </c:pt>
                <c:pt idx="10">
                  <c:v>2.1</c:v>
                </c:pt>
                <c:pt idx="11">
                  <c:v>2.15</c:v>
                </c:pt>
                <c:pt idx="12">
                  <c:v>2.2000000000000002</c:v>
                </c:pt>
              </c:numCache>
            </c:numRef>
          </c:xVal>
          <c:yVal>
            <c:numRef>
              <c:f>OpticalData!$E$73:$E$85</c:f>
              <c:numCache>
                <c:formatCode>0.000</c:formatCode>
                <c:ptCount val="13"/>
                <c:pt idx="0">
                  <c:v>0.29390330389427044</c:v>
                </c:pt>
                <c:pt idx="1">
                  <c:v>0.3013077307708889</c:v>
                </c:pt>
                <c:pt idx="2">
                  <c:v>0.30803539046958633</c:v>
                </c:pt>
                <c:pt idx="3">
                  <c:v>0.3074604648578283</c:v>
                </c:pt>
                <c:pt idx="4">
                  <c:v>0.30729718203764583</c:v>
                </c:pt>
                <c:pt idx="5">
                  <c:v>0.30717974040477447</c:v>
                </c:pt>
                <c:pt idx="6">
                  <c:v>0.30712510888220329</c:v>
                </c:pt>
                <c:pt idx="7">
                  <c:v>0.30673218613351777</c:v>
                </c:pt>
                <c:pt idx="8">
                  <c:v>0.30623824934562471</c:v>
                </c:pt>
                <c:pt idx="9">
                  <c:v>0.30561604907650453</c:v>
                </c:pt>
                <c:pt idx="10">
                  <c:v>0.30504764483678865</c:v>
                </c:pt>
                <c:pt idx="11">
                  <c:v>0.30460663092842244</c:v>
                </c:pt>
                <c:pt idx="12">
                  <c:v>0.30392293459544634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06-4A43-8D72-3407D638F11B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Grayscale!$C$20:$C$35</c:f>
              <c:numCache>
                <c:formatCode>0.00</c:formatCode>
                <c:ptCount val="16"/>
              </c:numCache>
            </c:numRef>
          </c:xVal>
          <c:yVal>
            <c:numRef>
              <c:f>Grayscale!$C$2:$C$17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06-4A43-8D72-3407D638F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5112"/>
        <c:axId val="193268640"/>
      </c:scatterChart>
      <c:valAx>
        <c:axId val="193265112"/>
        <c:scaling>
          <c:orientation val="minMax"/>
          <c:max val="2.2000000000000002"/>
          <c:min val="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Voltage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8640"/>
        <c:crosses val="autoZero"/>
        <c:crossBetween val="midCat"/>
      </c:valAx>
      <c:valAx>
        <c:axId val="19326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5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Current vs Yield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Meausrent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OpticalData!$G$2:$G$99</c:f>
              <c:numCache>
                <c:formatCode>General</c:formatCode>
                <c:ptCount val="98"/>
                <c:pt idx="0">
                  <c:v>4.5842927999999994E-7</c:v>
                </c:pt>
                <c:pt idx="1">
                  <c:v>6.5860096000000002E-7</c:v>
                </c:pt>
                <c:pt idx="2">
                  <c:v>8.8374528000000004E-8</c:v>
                </c:pt>
                <c:pt idx="3">
                  <c:v>1.4318844800000001E-7</c:v>
                </c:pt>
                <c:pt idx="4">
                  <c:v>1.39209296E-7</c:v>
                </c:pt>
                <c:pt idx="5">
                  <c:v>8.9348912E-8</c:v>
                </c:pt>
                <c:pt idx="6">
                  <c:v>3.4961312000000001E-7</c:v>
                </c:pt>
                <c:pt idx="7">
                  <c:v>2.9090144000000003E-7</c:v>
                </c:pt>
                <c:pt idx="8">
                  <c:v>3.2127248000000001E-7</c:v>
                </c:pt>
                <c:pt idx="9">
                  <c:v>2.4973024000000002E-7</c:v>
                </c:pt>
                <c:pt idx="10">
                  <c:v>2.9301295999999999E-7</c:v>
                </c:pt>
                <c:pt idx="11">
                  <c:v>2.7271152000000002E-7</c:v>
                </c:pt>
                <c:pt idx="12">
                  <c:v>3.7527455999999997E-7</c:v>
                </c:pt>
                <c:pt idx="13">
                  <c:v>3.3385904000000001E-7</c:v>
                </c:pt>
                <c:pt idx="14">
                  <c:v>4.5865024000000002E-7</c:v>
                </c:pt>
                <c:pt idx="15">
                  <c:v>4.2529679999999991E-7</c:v>
                </c:pt>
                <c:pt idx="16">
                  <c:v>5.962768E-8</c:v>
                </c:pt>
                <c:pt idx="17">
                  <c:v>4.8763408E-6</c:v>
                </c:pt>
                <c:pt idx="18">
                  <c:v>1.6303840000000001E-6</c:v>
                </c:pt>
                <c:pt idx="19">
                  <c:v>1.3791003199999998E-7</c:v>
                </c:pt>
                <c:pt idx="20">
                  <c:v>3.9460095999999999E-7</c:v>
                </c:pt>
                <c:pt idx="21">
                  <c:v>2.3113423999999998E-7</c:v>
                </c:pt>
                <c:pt idx="22">
                  <c:v>5.0478479999999998E-6</c:v>
                </c:pt>
                <c:pt idx="23">
                  <c:v>2.7287152000000003E-6</c:v>
                </c:pt>
                <c:pt idx="24">
                  <c:v>6.0171696E-7</c:v>
                </c:pt>
                <c:pt idx="25">
                  <c:v>2.7019423999999999E-7</c:v>
                </c:pt>
                <c:pt idx="26">
                  <c:v>4.7426400000000002E-7</c:v>
                </c:pt>
                <c:pt idx="27">
                  <c:v>6.1491184E-7</c:v>
                </c:pt>
                <c:pt idx="28">
                  <c:v>3.3158112000000005E-6</c:v>
                </c:pt>
                <c:pt idx="29">
                  <c:v>3.2102896E-7</c:v>
                </c:pt>
                <c:pt idx="30">
                  <c:v>4.9651456000000001E-7</c:v>
                </c:pt>
                <c:pt idx="31">
                  <c:v>8.4651055999999994E-7</c:v>
                </c:pt>
                <c:pt idx="32">
                  <c:v>1.5570609599999999E-6</c:v>
                </c:pt>
                <c:pt idx="33">
                  <c:v>9.3108016000000007E-8</c:v>
                </c:pt>
                <c:pt idx="34">
                  <c:v>1.1671531199999999E-7</c:v>
                </c:pt>
                <c:pt idx="35">
                  <c:v>1.7282992000000003E-9</c:v>
                </c:pt>
                <c:pt idx="36">
                  <c:v>6.1166431999999996E-7</c:v>
                </c:pt>
                <c:pt idx="37">
                  <c:v>4.3715296000000001E-7</c:v>
                </c:pt>
                <c:pt idx="38">
                  <c:v>3.5139983999999999E-7</c:v>
                </c:pt>
                <c:pt idx="39">
                  <c:v>1.6139344E-7</c:v>
                </c:pt>
                <c:pt idx="40">
                  <c:v>1.7203024000000001E-7</c:v>
                </c:pt>
                <c:pt idx="41">
                  <c:v>1.6412623999999996E-6</c:v>
                </c:pt>
                <c:pt idx="42">
                  <c:v>3.2504975999999998E-8</c:v>
                </c:pt>
                <c:pt idx="43">
                  <c:v>8.3254320000000008E-7</c:v>
                </c:pt>
                <c:pt idx="44">
                  <c:v>8.9373056000000007E-8</c:v>
                </c:pt>
                <c:pt idx="45">
                  <c:v>4.3031311999999998E-7</c:v>
                </c:pt>
                <c:pt idx="46">
                  <c:v>2.3007856E-7</c:v>
                </c:pt>
                <c:pt idx="47">
                  <c:v>6.9574159999999999E-7</c:v>
                </c:pt>
                <c:pt idx="48">
                  <c:v>5.8003535999999999E-8</c:v>
                </c:pt>
                <c:pt idx="49">
                  <c:v>2.3600656E-7</c:v>
                </c:pt>
                <c:pt idx="50">
                  <c:v>1.8728303999999998E-7</c:v>
                </c:pt>
                <c:pt idx="51">
                  <c:v>1.10787264E-7</c:v>
                </c:pt>
                <c:pt idx="52">
                  <c:v>9.2331007999999997E-9</c:v>
                </c:pt>
                <c:pt idx="53">
                  <c:v>3.8625855999999998E-8</c:v>
                </c:pt>
                <c:pt idx="54">
                  <c:v>1.8002207999999998E-8</c:v>
                </c:pt>
                <c:pt idx="55">
                  <c:v>4.2685695999999998E-8</c:v>
                </c:pt>
                <c:pt idx="56">
                  <c:v>2.3178351999999999E-7</c:v>
                </c:pt>
                <c:pt idx="57">
                  <c:v>1.1912543999999999E-8</c:v>
                </c:pt>
                <c:pt idx="58">
                  <c:v>1.1655283199999998E-7</c:v>
                </c:pt>
                <c:pt idx="59">
                  <c:v>3.3929280000000001E-7</c:v>
                </c:pt>
                <c:pt idx="60">
                  <c:v>3.8189360000000001E-8</c:v>
                </c:pt>
                <c:pt idx="61">
                  <c:v>8.3989344000000002E-8</c:v>
                </c:pt>
                <c:pt idx="62">
                  <c:v>8.6750367999999991E-8</c:v>
                </c:pt>
                <c:pt idx="63">
                  <c:v>5.6460607999999993E-8</c:v>
                </c:pt>
                <c:pt idx="64">
                  <c:v>3.7581904000000008E-9</c:v>
                </c:pt>
                <c:pt idx="65">
                  <c:v>1.05368592E-7</c:v>
                </c:pt>
                <c:pt idx="66">
                  <c:v>2.1823024000000001E-7</c:v>
                </c:pt>
                <c:pt idx="67">
                  <c:v>4.1236896000000002E-7</c:v>
                </c:pt>
                <c:pt idx="68">
                  <c:v>8.8411471999999996E-7</c:v>
                </c:pt>
                <c:pt idx="69">
                  <c:v>1.42455152E-6</c:v>
                </c:pt>
                <c:pt idx="70">
                  <c:v>2.6545024E-6</c:v>
                </c:pt>
                <c:pt idx="71">
                  <c:v>6.1049839999999996E-6</c:v>
                </c:pt>
                <c:pt idx="72">
                  <c:v>1.3823192000000002E-5</c:v>
                </c:pt>
                <c:pt idx="73">
                  <c:v>3.0870431999999996E-5</c:v>
                </c:pt>
                <c:pt idx="74">
                  <c:v>6.8497584000000003E-5</c:v>
                </c:pt>
                <c:pt idx="75">
                  <c:v>1.57645328E-4</c:v>
                </c:pt>
                <c:pt idx="76">
                  <c:v>3.7882736000000001E-4</c:v>
                </c:pt>
                <c:pt idx="77">
                  <c:v>9.3724591999999997E-4</c:v>
                </c:pt>
                <c:pt idx="78">
                  <c:v>2.4437567999999999E-3</c:v>
                </c:pt>
                <c:pt idx="79">
                  <c:v>6.7384431999999985E-3</c:v>
                </c:pt>
                <c:pt idx="80">
                  <c:v>2.0673359999999998E-2</c:v>
                </c:pt>
                <c:pt idx="81">
                  <c:v>7.0968576000000005E-2</c:v>
                </c:pt>
                <c:pt idx="82">
                  <c:v>0.24001552000000001</c:v>
                </c:pt>
                <c:pt idx="83">
                  <c:v>0.71848495999999995</c:v>
                </c:pt>
                <c:pt idx="84">
                  <c:v>1.7347264</c:v>
                </c:pt>
                <c:pt idx="85">
                  <c:v>3.3428991999999997</c:v>
                </c:pt>
                <c:pt idx="86">
                  <c:v>5.4936591999999997</c:v>
                </c:pt>
                <c:pt idx="87">
                  <c:v>8.1726159999999997</c:v>
                </c:pt>
                <c:pt idx="88">
                  <c:v>11.3849936</c:v>
                </c:pt>
                <c:pt idx="89">
                  <c:v>15.2352688</c:v>
                </c:pt>
                <c:pt idx="90">
                  <c:v>19.888255999999998</c:v>
                </c:pt>
                <c:pt idx="91">
                  <c:v>25.486224000000004</c:v>
                </c:pt>
                <c:pt idx="92">
                  <c:v>32.327503999999998</c:v>
                </c:pt>
                <c:pt idx="93">
                  <c:v>40.872320000000002</c:v>
                </c:pt>
                <c:pt idx="94">
                  <c:v>51.546991999999996</c:v>
                </c:pt>
                <c:pt idx="95">
                  <c:v>65.004543999999996</c:v>
                </c:pt>
                <c:pt idx="96">
                  <c:v>82.818543999999989</c:v>
                </c:pt>
                <c:pt idx="97">
                  <c:v>106.38193599999998</c:v>
                </c:pt>
              </c:numCache>
            </c:numRef>
          </c:xVal>
          <c:yVal>
            <c:numRef>
              <c:f>OpticalData!$H$2:$H$99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11.0999036013535</c:v>
                </c:pt>
                <c:pt idx="80">
                  <c:v>22.516160893501485</c:v>
                </c:pt>
                <c:pt idx="81">
                  <c:v>39.946952087064773</c:v>
                </c:pt>
                <c:pt idx="82">
                  <c:v>62.282437817366528</c:v>
                </c:pt>
                <c:pt idx="83">
                  <c:v>82.270531855716712</c:v>
                </c:pt>
                <c:pt idx="84">
                  <c:v>93.730465650491752</c:v>
                </c:pt>
                <c:pt idx="85">
                  <c:v>97.345181916919344</c:v>
                </c:pt>
                <c:pt idx="86">
                  <c:v>97.125669010491379</c:v>
                </c:pt>
                <c:pt idx="87">
                  <c:v>95.229999054067591</c:v>
                </c:pt>
                <c:pt idx="88">
                  <c:v>92.572316122158114</c:v>
                </c:pt>
                <c:pt idx="89">
                  <c:v>89.455683486653356</c:v>
                </c:pt>
                <c:pt idx="90">
                  <c:v>86.094476221321088</c:v>
                </c:pt>
                <c:pt idx="91">
                  <c:v>82.858471691001554</c:v>
                </c:pt>
                <c:pt idx="92">
                  <c:v>79.247835481007769</c:v>
                </c:pt>
                <c:pt idx="93">
                  <c:v>75.74667495466592</c:v>
                </c:pt>
                <c:pt idx="94">
                  <c:v>72.093474674761467</c:v>
                </c:pt>
                <c:pt idx="95">
                  <c:v>68.239745166400539</c:v>
                </c:pt>
                <c:pt idx="96">
                  <c:v>64.511481715905802</c:v>
                </c:pt>
                <c:pt idx="97">
                  <c:v>60.510101089038173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9-4719-BFCD-6C341FADF212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Grayscale!$H$20:$H$35</c:f>
              <c:numCache>
                <c:formatCode>0.000</c:formatCode>
                <c:ptCount val="16"/>
              </c:numCache>
            </c:numRef>
          </c:xVal>
          <c:yVal>
            <c:numRef>
              <c:f>Grayscale!$I$20:$I$35</c:f>
              <c:numCache>
                <c:formatCode>0.00</c:formatCode>
                <c:ptCount val="1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09-4719-BFCD-6C341FADF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5504"/>
        <c:axId val="193264720"/>
      </c:scatterChart>
      <c:valAx>
        <c:axId val="1932655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4720"/>
        <c:crosses val="autoZero"/>
        <c:crossBetween val="midCat"/>
      </c:valAx>
      <c:valAx>
        <c:axId val="1932647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Yield (cd/A)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5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Current vs CIEx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OpticalData!$G$81:$G$99</c:f>
              <c:numCache>
                <c:formatCode>General</c:formatCode>
                <c:ptCount val="19"/>
                <c:pt idx="0">
                  <c:v>6.7384431999999985E-3</c:v>
                </c:pt>
                <c:pt idx="1">
                  <c:v>2.0673359999999998E-2</c:v>
                </c:pt>
                <c:pt idx="2">
                  <c:v>7.0968576000000005E-2</c:v>
                </c:pt>
                <c:pt idx="3">
                  <c:v>0.24001552000000001</c:v>
                </c:pt>
                <c:pt idx="4">
                  <c:v>0.71848495999999995</c:v>
                </c:pt>
                <c:pt idx="5">
                  <c:v>1.7347264</c:v>
                </c:pt>
                <c:pt idx="6">
                  <c:v>3.3428991999999997</c:v>
                </c:pt>
                <c:pt idx="7">
                  <c:v>5.4936591999999997</c:v>
                </c:pt>
                <c:pt idx="8">
                  <c:v>8.1726159999999997</c:v>
                </c:pt>
                <c:pt idx="9">
                  <c:v>11.3849936</c:v>
                </c:pt>
                <c:pt idx="10">
                  <c:v>15.2352688</c:v>
                </c:pt>
                <c:pt idx="11">
                  <c:v>19.888255999999998</c:v>
                </c:pt>
                <c:pt idx="12">
                  <c:v>25.486224000000004</c:v>
                </c:pt>
                <c:pt idx="13">
                  <c:v>32.327503999999998</c:v>
                </c:pt>
                <c:pt idx="14">
                  <c:v>40.872320000000002</c:v>
                </c:pt>
                <c:pt idx="15">
                  <c:v>51.546991999999996</c:v>
                </c:pt>
                <c:pt idx="16">
                  <c:v>65.004543999999996</c:v>
                </c:pt>
                <c:pt idx="17">
                  <c:v>82.818543999999989</c:v>
                </c:pt>
                <c:pt idx="18">
                  <c:v>106.38193599999998</c:v>
                </c:pt>
              </c:numCache>
            </c:numRef>
          </c:xVal>
          <c:yVal>
            <c:numRef>
              <c:f>OpticalData!$I$81:$I$99</c:f>
              <c:numCache>
                <c:formatCode>0.000</c:formatCode>
                <c:ptCount val="19"/>
                <c:pt idx="0">
                  <c:v>0.23248758177434331</c:v>
                </c:pt>
                <c:pt idx="1">
                  <c:v>0.21946712983120087</c:v>
                </c:pt>
                <c:pt idx="2">
                  <c:v>0.2080256909644384</c:v>
                </c:pt>
                <c:pt idx="3">
                  <c:v>0.20509374511244288</c:v>
                </c:pt>
                <c:pt idx="4">
                  <c:v>0.19703141909838615</c:v>
                </c:pt>
                <c:pt idx="5">
                  <c:v>0.18972249129738078</c:v>
                </c:pt>
                <c:pt idx="6">
                  <c:v>0.18186481444489577</c:v>
                </c:pt>
                <c:pt idx="7">
                  <c:v>0.17502810291593809</c:v>
                </c:pt>
                <c:pt idx="8">
                  <c:v>0.16996066959846845</c:v>
                </c:pt>
                <c:pt idx="9">
                  <c:v>0.16501379535536287</c:v>
                </c:pt>
                <c:pt idx="10">
                  <c:v>0.16082573525862043</c:v>
                </c:pt>
                <c:pt idx="11">
                  <c:v>0.1574261991075652</c:v>
                </c:pt>
                <c:pt idx="12">
                  <c:v>0.15426595431242995</c:v>
                </c:pt>
                <c:pt idx="13">
                  <c:v>0.15100910101033221</c:v>
                </c:pt>
                <c:pt idx="14">
                  <c:v>0.14833657847575138</c:v>
                </c:pt>
                <c:pt idx="15">
                  <c:v>0.14573385907902978</c:v>
                </c:pt>
                <c:pt idx="16">
                  <c:v>0.14360198294303966</c:v>
                </c:pt>
                <c:pt idx="17">
                  <c:v>0.14206513168454815</c:v>
                </c:pt>
                <c:pt idx="18">
                  <c:v>0.14106980951519377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21-4EAD-AA9F-BF55A49D49CD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Grayscale!$H$20:$H$35</c:f>
              <c:numCache>
                <c:formatCode>0.000</c:formatCode>
                <c:ptCount val="16"/>
              </c:numCache>
            </c:numRef>
          </c:xVal>
          <c:yVal>
            <c:numRef>
              <c:f>Grayscale!$D$2:$D$17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21-4EAD-AA9F-BF55A49D4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9032"/>
        <c:axId val="193269816"/>
      </c:scatterChart>
      <c:valAx>
        <c:axId val="193269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9816"/>
        <c:crosses val="autoZero"/>
        <c:crossBetween val="midCat"/>
      </c:valAx>
      <c:valAx>
        <c:axId val="193269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9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Current vs CIEy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OpticalData!$G$81:$G$99</c:f>
              <c:numCache>
                <c:formatCode>General</c:formatCode>
                <c:ptCount val="19"/>
                <c:pt idx="0">
                  <c:v>6.7384431999999985E-3</c:v>
                </c:pt>
                <c:pt idx="1">
                  <c:v>2.0673359999999998E-2</c:v>
                </c:pt>
                <c:pt idx="2">
                  <c:v>7.0968576000000005E-2</c:v>
                </c:pt>
                <c:pt idx="3">
                  <c:v>0.24001552000000001</c:v>
                </c:pt>
                <c:pt idx="4">
                  <c:v>0.71848495999999995</c:v>
                </c:pt>
                <c:pt idx="5">
                  <c:v>1.7347264</c:v>
                </c:pt>
                <c:pt idx="6">
                  <c:v>3.3428991999999997</c:v>
                </c:pt>
                <c:pt idx="7">
                  <c:v>5.4936591999999997</c:v>
                </c:pt>
                <c:pt idx="8">
                  <c:v>8.1726159999999997</c:v>
                </c:pt>
                <c:pt idx="9">
                  <c:v>11.3849936</c:v>
                </c:pt>
                <c:pt idx="10">
                  <c:v>15.2352688</c:v>
                </c:pt>
                <c:pt idx="11">
                  <c:v>19.888255999999998</c:v>
                </c:pt>
                <c:pt idx="12">
                  <c:v>25.486224000000004</c:v>
                </c:pt>
                <c:pt idx="13">
                  <c:v>32.327503999999998</c:v>
                </c:pt>
                <c:pt idx="14">
                  <c:v>40.872320000000002</c:v>
                </c:pt>
                <c:pt idx="15">
                  <c:v>51.546991999999996</c:v>
                </c:pt>
                <c:pt idx="16">
                  <c:v>65.004543999999996</c:v>
                </c:pt>
                <c:pt idx="17">
                  <c:v>82.818543999999989</c:v>
                </c:pt>
                <c:pt idx="18">
                  <c:v>106.38193599999998</c:v>
                </c:pt>
              </c:numCache>
            </c:numRef>
          </c:xVal>
          <c:yVal>
            <c:numRef>
              <c:f>OpticalData!$J$81:$J$99</c:f>
              <c:numCache>
                <c:formatCode>0.000</c:formatCode>
                <c:ptCount val="19"/>
                <c:pt idx="0">
                  <c:v>0.68694861532643947</c:v>
                </c:pt>
                <c:pt idx="1">
                  <c:v>0.72438181236519839</c:v>
                </c:pt>
                <c:pt idx="2">
                  <c:v>0.73932730921773326</c:v>
                </c:pt>
                <c:pt idx="3">
                  <c:v>0.74124282149917697</c:v>
                </c:pt>
                <c:pt idx="4">
                  <c:v>0.74561338825960044</c:v>
                </c:pt>
                <c:pt idx="5">
                  <c:v>0.74836246786912453</c:v>
                </c:pt>
                <c:pt idx="6">
                  <c:v>0.75069483771125112</c:v>
                </c:pt>
                <c:pt idx="7">
                  <c:v>0.75249508150700983</c:v>
                </c:pt>
                <c:pt idx="8">
                  <c:v>0.75206476359423147</c:v>
                </c:pt>
                <c:pt idx="9">
                  <c:v>0.7521241324158866</c:v>
                </c:pt>
                <c:pt idx="10">
                  <c:v>0.75081094515140623</c:v>
                </c:pt>
                <c:pt idx="11">
                  <c:v>0.74987623148615379</c:v>
                </c:pt>
                <c:pt idx="12">
                  <c:v>0.74803422272980202</c:v>
                </c:pt>
                <c:pt idx="13">
                  <c:v>0.74602400149849568</c:v>
                </c:pt>
                <c:pt idx="14">
                  <c:v>0.74305302122314754</c:v>
                </c:pt>
                <c:pt idx="15">
                  <c:v>0.74004643004401316</c:v>
                </c:pt>
                <c:pt idx="16">
                  <c:v>0.73606295716200665</c:v>
                </c:pt>
                <c:pt idx="17">
                  <c:v>0.7308393942340895</c:v>
                </c:pt>
                <c:pt idx="18">
                  <c:v>0.7248682681303793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4-42F7-9D4E-4A4D082595ED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Grayscale!$H$20:$H$35</c:f>
              <c:numCache>
                <c:formatCode>0.000</c:formatCode>
                <c:ptCount val="16"/>
              </c:numCache>
            </c:numRef>
          </c:xVal>
          <c:yVal>
            <c:numRef>
              <c:f>Grayscale!$E$2:$E$17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04-42F7-9D4E-4A4D08259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9424"/>
        <c:axId val="193270992"/>
      </c:scatterChart>
      <c:valAx>
        <c:axId val="193269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70992"/>
        <c:crosses val="autoZero"/>
        <c:crossBetween val="midCat"/>
      </c:valAx>
      <c:valAx>
        <c:axId val="19327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CIEy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9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Voltage vs CIEx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OpticalData!$F$81:$F$99</c:f>
              <c:numCache>
                <c:formatCode>General</c:formatCode>
                <c:ptCount val="19"/>
                <c:pt idx="0">
                  <c:v>2</c:v>
                </c:pt>
                <c:pt idx="1">
                  <c:v>2.0499999999999998</c:v>
                </c:pt>
                <c:pt idx="2">
                  <c:v>2.1</c:v>
                </c:pt>
                <c:pt idx="3">
                  <c:v>2.15</c:v>
                </c:pt>
                <c:pt idx="4">
                  <c:v>2.2000000000000002</c:v>
                </c:pt>
                <c:pt idx="5">
                  <c:v>2.25</c:v>
                </c:pt>
                <c:pt idx="6">
                  <c:v>2.2999999999999998</c:v>
                </c:pt>
                <c:pt idx="7">
                  <c:v>2.35</c:v>
                </c:pt>
                <c:pt idx="8">
                  <c:v>2.4</c:v>
                </c:pt>
                <c:pt idx="9">
                  <c:v>2.4500000000000002</c:v>
                </c:pt>
                <c:pt idx="10">
                  <c:v>2.5</c:v>
                </c:pt>
                <c:pt idx="11">
                  <c:v>2.5499999999999998</c:v>
                </c:pt>
                <c:pt idx="12">
                  <c:v>2.6</c:v>
                </c:pt>
                <c:pt idx="13">
                  <c:v>2.65</c:v>
                </c:pt>
                <c:pt idx="14">
                  <c:v>2.7</c:v>
                </c:pt>
                <c:pt idx="15">
                  <c:v>2.75</c:v>
                </c:pt>
                <c:pt idx="16">
                  <c:v>2.8</c:v>
                </c:pt>
                <c:pt idx="17">
                  <c:v>2.85</c:v>
                </c:pt>
                <c:pt idx="18">
                  <c:v>2.9</c:v>
                </c:pt>
              </c:numCache>
            </c:numRef>
          </c:xVal>
          <c:yVal>
            <c:numRef>
              <c:f>OpticalData!$I$81:$I$99</c:f>
              <c:numCache>
                <c:formatCode>0.000</c:formatCode>
                <c:ptCount val="19"/>
                <c:pt idx="0">
                  <c:v>0.23248758177434331</c:v>
                </c:pt>
                <c:pt idx="1">
                  <c:v>0.21946712983120087</c:v>
                </c:pt>
                <c:pt idx="2">
                  <c:v>0.2080256909644384</c:v>
                </c:pt>
                <c:pt idx="3">
                  <c:v>0.20509374511244288</c:v>
                </c:pt>
                <c:pt idx="4">
                  <c:v>0.19703141909838615</c:v>
                </c:pt>
                <c:pt idx="5">
                  <c:v>0.18972249129738078</c:v>
                </c:pt>
                <c:pt idx="6">
                  <c:v>0.18186481444489577</c:v>
                </c:pt>
                <c:pt idx="7">
                  <c:v>0.17502810291593809</c:v>
                </c:pt>
                <c:pt idx="8">
                  <c:v>0.16996066959846845</c:v>
                </c:pt>
                <c:pt idx="9">
                  <c:v>0.16501379535536287</c:v>
                </c:pt>
                <c:pt idx="10">
                  <c:v>0.16082573525862043</c:v>
                </c:pt>
                <c:pt idx="11">
                  <c:v>0.1574261991075652</c:v>
                </c:pt>
                <c:pt idx="12">
                  <c:v>0.15426595431242995</c:v>
                </c:pt>
                <c:pt idx="13">
                  <c:v>0.15100910101033221</c:v>
                </c:pt>
                <c:pt idx="14">
                  <c:v>0.14833657847575138</c:v>
                </c:pt>
                <c:pt idx="15">
                  <c:v>0.14573385907902978</c:v>
                </c:pt>
                <c:pt idx="16">
                  <c:v>0.14360198294303966</c:v>
                </c:pt>
                <c:pt idx="17">
                  <c:v>0.14206513168454815</c:v>
                </c:pt>
                <c:pt idx="18">
                  <c:v>0.14106980951519377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39-415F-B516-CDD3EFD37007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Grayscale!$G$20:$G$35</c:f>
              <c:numCache>
                <c:formatCode>0.00</c:formatCode>
                <c:ptCount val="16"/>
              </c:numCache>
            </c:numRef>
          </c:xVal>
          <c:yVal>
            <c:numRef>
              <c:f>Grayscale!$D$2:$D$17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39-415F-B516-CDD3EFD37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2368"/>
        <c:axId val="193261584"/>
      </c:scatterChart>
      <c:valAx>
        <c:axId val="193262368"/>
        <c:scaling>
          <c:orientation val="minMax"/>
          <c:max val="2.9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Voltage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1584"/>
        <c:crosses val="autoZero"/>
        <c:crossBetween val="midCat"/>
      </c:valAx>
      <c:valAx>
        <c:axId val="19326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3262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B050"/>
                </a:solidFill>
              </a:rPr>
              <a:t>Voltage vs CIEy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OpticalData!$F$81:$F$99</c:f>
              <c:numCache>
                <c:formatCode>General</c:formatCode>
                <c:ptCount val="19"/>
                <c:pt idx="0">
                  <c:v>2</c:v>
                </c:pt>
                <c:pt idx="1">
                  <c:v>2.0499999999999998</c:v>
                </c:pt>
                <c:pt idx="2">
                  <c:v>2.1</c:v>
                </c:pt>
                <c:pt idx="3">
                  <c:v>2.15</c:v>
                </c:pt>
                <c:pt idx="4">
                  <c:v>2.2000000000000002</c:v>
                </c:pt>
                <c:pt idx="5">
                  <c:v>2.25</c:v>
                </c:pt>
                <c:pt idx="6">
                  <c:v>2.2999999999999998</c:v>
                </c:pt>
                <c:pt idx="7">
                  <c:v>2.35</c:v>
                </c:pt>
                <c:pt idx="8">
                  <c:v>2.4</c:v>
                </c:pt>
                <c:pt idx="9">
                  <c:v>2.4500000000000002</c:v>
                </c:pt>
                <c:pt idx="10">
                  <c:v>2.5</c:v>
                </c:pt>
                <c:pt idx="11">
                  <c:v>2.5499999999999998</c:v>
                </c:pt>
                <c:pt idx="12">
                  <c:v>2.6</c:v>
                </c:pt>
                <c:pt idx="13">
                  <c:v>2.65</c:v>
                </c:pt>
                <c:pt idx="14">
                  <c:v>2.7</c:v>
                </c:pt>
                <c:pt idx="15">
                  <c:v>2.75</c:v>
                </c:pt>
                <c:pt idx="16">
                  <c:v>2.8</c:v>
                </c:pt>
                <c:pt idx="17">
                  <c:v>2.85</c:v>
                </c:pt>
                <c:pt idx="18">
                  <c:v>2.9</c:v>
                </c:pt>
              </c:numCache>
            </c:numRef>
          </c:xVal>
          <c:yVal>
            <c:numRef>
              <c:f>OpticalData!$J$81:$J$99</c:f>
              <c:numCache>
                <c:formatCode>0.000</c:formatCode>
                <c:ptCount val="19"/>
                <c:pt idx="0">
                  <c:v>0.68694861532643947</c:v>
                </c:pt>
                <c:pt idx="1">
                  <c:v>0.72438181236519839</c:v>
                </c:pt>
                <c:pt idx="2">
                  <c:v>0.73932730921773326</c:v>
                </c:pt>
                <c:pt idx="3">
                  <c:v>0.74124282149917697</c:v>
                </c:pt>
                <c:pt idx="4">
                  <c:v>0.74561338825960044</c:v>
                </c:pt>
                <c:pt idx="5">
                  <c:v>0.74836246786912453</c:v>
                </c:pt>
                <c:pt idx="6">
                  <c:v>0.75069483771125112</c:v>
                </c:pt>
                <c:pt idx="7">
                  <c:v>0.75249508150700983</c:v>
                </c:pt>
                <c:pt idx="8">
                  <c:v>0.75206476359423147</c:v>
                </c:pt>
                <c:pt idx="9">
                  <c:v>0.7521241324158866</c:v>
                </c:pt>
                <c:pt idx="10">
                  <c:v>0.75081094515140623</c:v>
                </c:pt>
                <c:pt idx="11">
                  <c:v>0.74987623148615379</c:v>
                </c:pt>
                <c:pt idx="12">
                  <c:v>0.74803422272980202</c:v>
                </c:pt>
                <c:pt idx="13">
                  <c:v>0.74602400149849568</c:v>
                </c:pt>
                <c:pt idx="14">
                  <c:v>0.74305302122314754</c:v>
                </c:pt>
                <c:pt idx="15">
                  <c:v>0.74004643004401316</c:v>
                </c:pt>
                <c:pt idx="16">
                  <c:v>0.73606295716200665</c:v>
                </c:pt>
                <c:pt idx="17">
                  <c:v>0.7308393942340895</c:v>
                </c:pt>
                <c:pt idx="18">
                  <c:v>0.7248682681303793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FD-4C7F-9C5A-3905F1870A3B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Grayscale!$G$20:$G$35</c:f>
              <c:numCache>
                <c:formatCode>0.00</c:formatCode>
                <c:ptCount val="16"/>
              </c:numCache>
            </c:numRef>
          </c:xVal>
          <c:yVal>
            <c:numRef>
              <c:f>Grayscale!$E$2:$E$17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FD-4C7F-9C5A-3905F1870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88952"/>
        <c:axId val="194179152"/>
      </c:scatterChart>
      <c:valAx>
        <c:axId val="194188952"/>
        <c:scaling>
          <c:orientation val="minMax"/>
          <c:max val="2.9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Voltage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79152"/>
        <c:crosses val="autoZero"/>
        <c:crossBetween val="midCat"/>
      </c:valAx>
      <c:valAx>
        <c:axId val="19417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CIEy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8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Current vs Yield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OpticalData!$L$2:$L$98</c:f>
              <c:numCache>
                <c:formatCode>General</c:formatCode>
                <c:ptCount val="97"/>
                <c:pt idx="0">
                  <c:v>3.0852435897435893E-7</c:v>
                </c:pt>
                <c:pt idx="1">
                  <c:v>2.6932115384615387E-7</c:v>
                </c:pt>
                <c:pt idx="2">
                  <c:v>1.6700256410256408E-7</c:v>
                </c:pt>
                <c:pt idx="3">
                  <c:v>1.3007663461538461E-7</c:v>
                </c:pt>
                <c:pt idx="4">
                  <c:v>7.164168269230769E-7</c:v>
                </c:pt>
                <c:pt idx="5">
                  <c:v>5.9888862179487172E-7</c:v>
                </c:pt>
                <c:pt idx="6">
                  <c:v>9.3528749999999994E-7</c:v>
                </c:pt>
                <c:pt idx="7">
                  <c:v>9.5367067307692308E-7</c:v>
                </c:pt>
                <c:pt idx="8">
                  <c:v>3.1623878205128199E-6</c:v>
                </c:pt>
                <c:pt idx="9">
                  <c:v>2.3728750000000001E-6</c:v>
                </c:pt>
                <c:pt idx="10">
                  <c:v>4.2759375000000001E-6</c:v>
                </c:pt>
                <c:pt idx="11">
                  <c:v>5.4419903846153843E-7</c:v>
                </c:pt>
                <c:pt idx="12">
                  <c:v>4.362815705128205E-7</c:v>
                </c:pt>
                <c:pt idx="13">
                  <c:v>4.3175881410256414E-6</c:v>
                </c:pt>
                <c:pt idx="14">
                  <c:v>1.7016891025641024E-6</c:v>
                </c:pt>
                <c:pt idx="15">
                  <c:v>1.1118133012820512E-8</c:v>
                </c:pt>
                <c:pt idx="16">
                  <c:v>6.2038125000000007E-6</c:v>
                </c:pt>
                <c:pt idx="17">
                  <c:v>8.4041939102564105E-6</c:v>
                </c:pt>
                <c:pt idx="18">
                  <c:v>1.2360251602564101E-6</c:v>
                </c:pt>
                <c:pt idx="19">
                  <c:v>3.9635128205128204E-7</c:v>
                </c:pt>
                <c:pt idx="20">
                  <c:v>2.8688894230769231E-7</c:v>
                </c:pt>
                <c:pt idx="21">
                  <c:v>1.8694134615384613E-7</c:v>
                </c:pt>
                <c:pt idx="22">
                  <c:v>1.0024950320512819E-7</c:v>
                </c:pt>
                <c:pt idx="23">
                  <c:v>1.0708092948717947E-7</c:v>
                </c:pt>
                <c:pt idx="24">
                  <c:v>6.4439711538461542E-8</c:v>
                </c:pt>
                <c:pt idx="25">
                  <c:v>2.7395849358974355E-7</c:v>
                </c:pt>
                <c:pt idx="26">
                  <c:v>8.821358974358974E-8</c:v>
                </c:pt>
                <c:pt idx="27">
                  <c:v>3.6053974358974361E-8</c:v>
                </c:pt>
                <c:pt idx="28">
                  <c:v>1.0838201923076923E-7</c:v>
                </c:pt>
                <c:pt idx="29">
                  <c:v>8.5611169871794873E-8</c:v>
                </c:pt>
                <c:pt idx="30">
                  <c:v>1.3505639423076924E-7</c:v>
                </c:pt>
                <c:pt idx="31">
                  <c:v>2.4829823717948714E-8</c:v>
                </c:pt>
                <c:pt idx="32">
                  <c:v>5.3347516025641025E-6</c:v>
                </c:pt>
                <c:pt idx="33">
                  <c:v>2.7076474358974356E-6</c:v>
                </c:pt>
                <c:pt idx="34">
                  <c:v>1.4067844551282051E-6</c:v>
                </c:pt>
                <c:pt idx="35">
                  <c:v>6.9307419871794871E-7</c:v>
                </c:pt>
                <c:pt idx="36">
                  <c:v>1.5797429487179486E-7</c:v>
                </c:pt>
                <c:pt idx="37">
                  <c:v>5.2386778846153842E-7</c:v>
                </c:pt>
                <c:pt idx="38">
                  <c:v>7.103166666666667E-7</c:v>
                </c:pt>
                <c:pt idx="39">
                  <c:v>2.6507387820512817E-6</c:v>
                </c:pt>
                <c:pt idx="40">
                  <c:v>6.9749551282051279E-7</c:v>
                </c:pt>
                <c:pt idx="41">
                  <c:v>3.5910480769230772E-7</c:v>
                </c:pt>
                <c:pt idx="42">
                  <c:v>2.5094326923076925E-7</c:v>
                </c:pt>
                <c:pt idx="43">
                  <c:v>1.7767019230769233E-7</c:v>
                </c:pt>
                <c:pt idx="44">
                  <c:v>1.2049926282051282E-7</c:v>
                </c:pt>
                <c:pt idx="45">
                  <c:v>1.4448991987179489E-7</c:v>
                </c:pt>
                <c:pt idx="46">
                  <c:v>6.7882564102564103E-8</c:v>
                </c:pt>
                <c:pt idx="47">
                  <c:v>1.108216826923077E-7</c:v>
                </c:pt>
                <c:pt idx="48">
                  <c:v>6.3328301282051281E-8</c:v>
                </c:pt>
                <c:pt idx="49">
                  <c:v>9.5729679487179474E-9</c:v>
                </c:pt>
                <c:pt idx="50">
                  <c:v>7.6502900641025629E-8</c:v>
                </c:pt>
                <c:pt idx="51">
                  <c:v>2.773735576923077E-7</c:v>
                </c:pt>
                <c:pt idx="52">
                  <c:v>4.532629807692307E-6</c:v>
                </c:pt>
                <c:pt idx="53">
                  <c:v>6.6945032051282049E-6</c:v>
                </c:pt>
                <c:pt idx="54">
                  <c:v>1.9947788461538462E-6</c:v>
                </c:pt>
                <c:pt idx="55">
                  <c:v>1.4411251602564103E-6</c:v>
                </c:pt>
                <c:pt idx="56">
                  <c:v>4.0393541666666672E-6</c:v>
                </c:pt>
                <c:pt idx="57">
                  <c:v>1.1596613782051281E-6</c:v>
                </c:pt>
                <c:pt idx="58">
                  <c:v>2.9510256410256412E-7</c:v>
                </c:pt>
                <c:pt idx="59">
                  <c:v>2.1402227564102567E-7</c:v>
                </c:pt>
                <c:pt idx="60">
                  <c:v>2.2231746794871797E-7</c:v>
                </c:pt>
                <c:pt idx="61">
                  <c:v>1.6726073717948719E-7</c:v>
                </c:pt>
                <c:pt idx="62">
                  <c:v>1.3993591346153845E-7</c:v>
                </c:pt>
                <c:pt idx="63">
                  <c:v>7.6584214743589751E-8</c:v>
                </c:pt>
                <c:pt idx="64">
                  <c:v>9.4312948717948715E-8</c:v>
                </c:pt>
                <c:pt idx="65">
                  <c:v>2.5004887820512819E-7</c:v>
                </c:pt>
                <c:pt idx="66">
                  <c:v>1.1179751602564103E-7</c:v>
                </c:pt>
                <c:pt idx="67">
                  <c:v>9.9192371794871786E-8</c:v>
                </c:pt>
                <c:pt idx="68">
                  <c:v>1.2456552884615385E-7</c:v>
                </c:pt>
                <c:pt idx="69">
                  <c:v>3.1478317307692312E-7</c:v>
                </c:pt>
                <c:pt idx="70">
                  <c:v>1.8811073717948718E-8</c:v>
                </c:pt>
                <c:pt idx="71">
                  <c:v>1.4774304487179485E-7</c:v>
                </c:pt>
                <c:pt idx="72">
                  <c:v>1.8759182692307693E-7</c:v>
                </c:pt>
                <c:pt idx="73">
                  <c:v>4.2019679487179488E-7</c:v>
                </c:pt>
                <c:pt idx="74">
                  <c:v>8.496065705128205E-8</c:v>
                </c:pt>
                <c:pt idx="75">
                  <c:v>6.2349038461538468E-7</c:v>
                </c:pt>
                <c:pt idx="76">
                  <c:v>1.7114471153846154E-6</c:v>
                </c:pt>
                <c:pt idx="77">
                  <c:v>2.5908060897435897E-6</c:v>
                </c:pt>
                <c:pt idx="78">
                  <c:v>4.2348557692307689E-6</c:v>
                </c:pt>
                <c:pt idx="79">
                  <c:v>1.1544126602564102E-5</c:v>
                </c:pt>
                <c:pt idx="80">
                  <c:v>2.5150336538461535E-5</c:v>
                </c:pt>
                <c:pt idx="81">
                  <c:v>5.9872996794871794E-5</c:v>
                </c:pt>
                <c:pt idx="82">
                  <c:v>1.4837996794871795E-4</c:v>
                </c:pt>
                <c:pt idx="83">
                  <c:v>3.8425064102564103E-4</c:v>
                </c:pt>
                <c:pt idx="84">
                  <c:v>1.0762067307692306E-3</c:v>
                </c:pt>
                <c:pt idx="85">
                  <c:v>3.342415064102564E-3</c:v>
                </c:pt>
                <c:pt idx="86">
                  <c:v>1.2061439102564103E-2</c:v>
                </c:pt>
                <c:pt idx="87">
                  <c:v>4.9342403846153848E-2</c:v>
                </c:pt>
                <c:pt idx="88">
                  <c:v>0.21083076923076924</c:v>
                </c:pt>
                <c:pt idx="89">
                  <c:v>0.84578589743589738</c:v>
                </c:pt>
                <c:pt idx="90">
                  <c:v>2.7443237179487179</c:v>
                </c:pt>
                <c:pt idx="91">
                  <c:v>6.7207980769230771</c:v>
                </c:pt>
                <c:pt idx="92">
                  <c:v>13.216145833333334</c:v>
                </c:pt>
                <c:pt idx="93">
                  <c:v>22.488814102564103</c:v>
                </c:pt>
                <c:pt idx="94">
                  <c:v>34.864182692307693</c:v>
                </c:pt>
                <c:pt idx="95">
                  <c:v>50.796025641025636</c:v>
                </c:pt>
                <c:pt idx="96">
                  <c:v>71.124391025641017</c:v>
                </c:pt>
              </c:numCache>
            </c:numRef>
          </c:xVal>
          <c:yVal>
            <c:numRef>
              <c:f>OpticalData!$M$2:$M$98</c:f>
              <c:numCache>
                <c:formatCode>General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10.651357218078811</c:v>
                </c:pt>
                <c:pt idx="89">
                  <c:v>12.838775864159734</c:v>
                </c:pt>
                <c:pt idx="90">
                  <c:v>13.75799800082369</c:v>
                </c:pt>
                <c:pt idx="91">
                  <c:v>13.950709391142249</c:v>
                </c:pt>
                <c:pt idx="92">
                  <c:v>13.740818160061863</c:v>
                </c:pt>
                <c:pt idx="93">
                  <c:v>13.333125623087563</c:v>
                </c:pt>
                <c:pt idx="94">
                  <c:v>12.896721307798762</c:v>
                </c:pt>
                <c:pt idx="95">
                  <c:v>12.365163975013495</c:v>
                </c:pt>
                <c:pt idx="96">
                  <c:v>11.79612945856169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1A-4FA1-A6E1-9CBBA0D7A326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Grayscale!$L$20:$L$35</c:f>
              <c:numCache>
                <c:formatCode>0.00</c:formatCode>
                <c:ptCount val="16"/>
              </c:numCache>
            </c:numRef>
          </c:xVal>
          <c:yVal>
            <c:numRef>
              <c:f>Grayscale!$M$20:$M$35</c:f>
              <c:numCache>
                <c:formatCode>0.00</c:formatCode>
                <c:ptCount val="1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1A-4FA1-A6E1-9CBBA0D7A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84248"/>
        <c:axId val="194186208"/>
      </c:scatterChart>
      <c:valAx>
        <c:axId val="19418424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6208"/>
        <c:crosses val="autoZero"/>
        <c:crossBetween val="midCat"/>
      </c:valAx>
      <c:valAx>
        <c:axId val="1941862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Yield (cd/A)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4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Current vs CIEx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OpticalData!$L$90:$L$98</c:f>
              <c:numCache>
                <c:formatCode>General</c:formatCode>
                <c:ptCount val="9"/>
                <c:pt idx="0">
                  <c:v>0.21083076923076924</c:v>
                </c:pt>
                <c:pt idx="1">
                  <c:v>0.84578589743589738</c:v>
                </c:pt>
                <c:pt idx="2">
                  <c:v>2.7443237179487179</c:v>
                </c:pt>
                <c:pt idx="3">
                  <c:v>6.7207980769230771</c:v>
                </c:pt>
                <c:pt idx="4">
                  <c:v>13.216145833333334</c:v>
                </c:pt>
                <c:pt idx="5">
                  <c:v>22.488814102564103</c:v>
                </c:pt>
                <c:pt idx="6">
                  <c:v>34.864182692307693</c:v>
                </c:pt>
                <c:pt idx="7">
                  <c:v>50.796025641025636</c:v>
                </c:pt>
                <c:pt idx="8">
                  <c:v>71.124391025641017</c:v>
                </c:pt>
              </c:numCache>
            </c:numRef>
          </c:xVal>
          <c:yVal>
            <c:numRef>
              <c:f>OpticalData!$N$90:$N$98</c:f>
              <c:numCache>
                <c:formatCode>0.000</c:formatCode>
                <c:ptCount val="9"/>
                <c:pt idx="0">
                  <c:v>0.13702877053524695</c:v>
                </c:pt>
                <c:pt idx="1">
                  <c:v>0.13687059335980595</c:v>
                </c:pt>
                <c:pt idx="2">
                  <c:v>0.13715392302527402</c:v>
                </c:pt>
                <c:pt idx="3">
                  <c:v>0.13756756863761069</c:v>
                </c:pt>
                <c:pt idx="4">
                  <c:v>0.13819631849217553</c:v>
                </c:pt>
                <c:pt idx="5">
                  <c:v>0.13876717703868546</c:v>
                </c:pt>
                <c:pt idx="6">
                  <c:v>0.13927290311536736</c:v>
                </c:pt>
                <c:pt idx="7">
                  <c:v>0.13968464179824006</c:v>
                </c:pt>
                <c:pt idx="8">
                  <c:v>0.13993199899887743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81-4310-8B84-86F2F7FAB5C0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Grayscale!$L$20:$L$35</c:f>
              <c:numCache>
                <c:formatCode>0.00</c:formatCode>
                <c:ptCount val="16"/>
              </c:numCache>
            </c:numRef>
          </c:xVal>
          <c:yVal>
            <c:numRef>
              <c:f>Grayscale!$F$2:$F$17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81-4310-8B84-86F2F7FAB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81896"/>
        <c:axId val="194182680"/>
      </c:scatterChart>
      <c:valAx>
        <c:axId val="194181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2680"/>
        <c:crosses val="autoZero"/>
        <c:crossBetween val="midCat"/>
      </c:valAx>
      <c:valAx>
        <c:axId val="194182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1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Current vs CIEy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OpticalData!$L$90:$L$98</c:f>
              <c:numCache>
                <c:formatCode>General</c:formatCode>
                <c:ptCount val="9"/>
                <c:pt idx="0">
                  <c:v>0.21083076923076924</c:v>
                </c:pt>
                <c:pt idx="1">
                  <c:v>0.84578589743589738</c:v>
                </c:pt>
                <c:pt idx="2">
                  <c:v>2.7443237179487179</c:v>
                </c:pt>
                <c:pt idx="3">
                  <c:v>6.7207980769230771</c:v>
                </c:pt>
                <c:pt idx="4">
                  <c:v>13.216145833333334</c:v>
                </c:pt>
                <c:pt idx="5">
                  <c:v>22.488814102564103</c:v>
                </c:pt>
                <c:pt idx="6">
                  <c:v>34.864182692307693</c:v>
                </c:pt>
                <c:pt idx="7">
                  <c:v>50.796025641025636</c:v>
                </c:pt>
                <c:pt idx="8">
                  <c:v>71.124391025641017</c:v>
                </c:pt>
              </c:numCache>
            </c:numRef>
          </c:xVal>
          <c:yVal>
            <c:numRef>
              <c:f>OpticalData!$O$90:$O$98</c:f>
              <c:numCache>
                <c:formatCode>0.000</c:formatCode>
                <c:ptCount val="9"/>
                <c:pt idx="0">
                  <c:v>4.6722452462916064E-2</c:v>
                </c:pt>
                <c:pt idx="1">
                  <c:v>4.7308053151542559E-2</c:v>
                </c:pt>
                <c:pt idx="2">
                  <c:v>4.6745016880583169E-2</c:v>
                </c:pt>
                <c:pt idx="3">
                  <c:v>4.6044267422174677E-2</c:v>
                </c:pt>
                <c:pt idx="4">
                  <c:v>4.5038073280051966E-2</c:v>
                </c:pt>
                <c:pt idx="5">
                  <c:v>4.4063388863700509E-2</c:v>
                </c:pt>
                <c:pt idx="6">
                  <c:v>4.3435937963527647E-2</c:v>
                </c:pt>
                <c:pt idx="7">
                  <c:v>4.2854527663088719E-2</c:v>
                </c:pt>
                <c:pt idx="8">
                  <c:v>4.2637405607297167E-2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36-4F6D-81C9-E6D2D04B4EBB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Grayscale!$L$20:$L$35</c:f>
              <c:numCache>
                <c:formatCode>0.00</c:formatCode>
                <c:ptCount val="16"/>
              </c:numCache>
            </c:numRef>
          </c:xVal>
          <c:yVal>
            <c:numRef>
              <c:f>Grayscale!$G$2:$G$17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36-4F6D-81C9-E6D2D04B4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83072"/>
        <c:axId val="194185816"/>
      </c:scatterChart>
      <c:valAx>
        <c:axId val="194183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Current (uA)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5816"/>
        <c:crosses val="autoZero"/>
        <c:crossBetween val="midCat"/>
      </c:valAx>
      <c:valAx>
        <c:axId val="194185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CIEy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3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Voltage vs CIEx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OpticalData!$K$90:$K$98</c:f>
              <c:numCache>
                <c:formatCode>General</c:formatCode>
                <c:ptCount val="9"/>
                <c:pt idx="0">
                  <c:v>2.4500000000000002</c:v>
                </c:pt>
                <c:pt idx="1">
                  <c:v>2.5</c:v>
                </c:pt>
                <c:pt idx="2">
                  <c:v>2.5499999999999998</c:v>
                </c:pt>
                <c:pt idx="3">
                  <c:v>2.6</c:v>
                </c:pt>
                <c:pt idx="4">
                  <c:v>2.65</c:v>
                </c:pt>
                <c:pt idx="5">
                  <c:v>2.7</c:v>
                </c:pt>
                <c:pt idx="6">
                  <c:v>2.75</c:v>
                </c:pt>
                <c:pt idx="7">
                  <c:v>2.8</c:v>
                </c:pt>
                <c:pt idx="8">
                  <c:v>2.85</c:v>
                </c:pt>
              </c:numCache>
            </c:numRef>
          </c:xVal>
          <c:yVal>
            <c:numRef>
              <c:f>OpticalData!$N$90:$N$98</c:f>
              <c:numCache>
                <c:formatCode>0.000</c:formatCode>
                <c:ptCount val="9"/>
                <c:pt idx="0">
                  <c:v>0.13702877053524695</c:v>
                </c:pt>
                <c:pt idx="1">
                  <c:v>0.13687059335980595</c:v>
                </c:pt>
                <c:pt idx="2">
                  <c:v>0.13715392302527402</c:v>
                </c:pt>
                <c:pt idx="3">
                  <c:v>0.13756756863761069</c:v>
                </c:pt>
                <c:pt idx="4">
                  <c:v>0.13819631849217553</c:v>
                </c:pt>
                <c:pt idx="5">
                  <c:v>0.13876717703868546</c:v>
                </c:pt>
                <c:pt idx="6">
                  <c:v>0.13927290311536736</c:v>
                </c:pt>
                <c:pt idx="7">
                  <c:v>0.13968464179824006</c:v>
                </c:pt>
                <c:pt idx="8">
                  <c:v>0.13993199899887743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43-4B91-9FCF-E0726D174925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Grayscale!$K$20:$K$35</c:f>
              <c:numCache>
                <c:formatCode>0.00</c:formatCode>
                <c:ptCount val="16"/>
              </c:numCache>
            </c:numRef>
          </c:xVal>
          <c:yVal>
            <c:numRef>
              <c:f>Grayscale!$F$2:$F$17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43-4B91-9FCF-E0726D174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79544"/>
        <c:axId val="194186992"/>
      </c:scatterChart>
      <c:valAx>
        <c:axId val="194179544"/>
        <c:scaling>
          <c:orientation val="minMax"/>
          <c:max val="2.8499999999999996"/>
          <c:min val="2.449999999999999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Voltage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6992"/>
        <c:crosses val="autoZero"/>
        <c:crossBetween val="midCat"/>
      </c:valAx>
      <c:valAx>
        <c:axId val="19418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79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>
                <a:solidFill>
                  <a:srgbClr val="0070C0"/>
                </a:solidFill>
              </a:rPr>
              <a:t>Voltage vs CIEy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Measurement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OpticalData!$K$90:$K$98</c:f>
              <c:numCache>
                <c:formatCode>General</c:formatCode>
                <c:ptCount val="9"/>
                <c:pt idx="0">
                  <c:v>2.4500000000000002</c:v>
                </c:pt>
                <c:pt idx="1">
                  <c:v>2.5</c:v>
                </c:pt>
                <c:pt idx="2">
                  <c:v>2.5499999999999998</c:v>
                </c:pt>
                <c:pt idx="3">
                  <c:v>2.6</c:v>
                </c:pt>
                <c:pt idx="4">
                  <c:v>2.65</c:v>
                </c:pt>
                <c:pt idx="5">
                  <c:v>2.7</c:v>
                </c:pt>
                <c:pt idx="6">
                  <c:v>2.75</c:v>
                </c:pt>
                <c:pt idx="7">
                  <c:v>2.8</c:v>
                </c:pt>
                <c:pt idx="8">
                  <c:v>2.85</c:v>
                </c:pt>
              </c:numCache>
            </c:numRef>
          </c:xVal>
          <c:yVal>
            <c:numRef>
              <c:f>OpticalData!$O$90:$O$98</c:f>
              <c:numCache>
                <c:formatCode>0.000</c:formatCode>
                <c:ptCount val="9"/>
                <c:pt idx="0">
                  <c:v>4.6722452462916064E-2</c:v>
                </c:pt>
                <c:pt idx="1">
                  <c:v>4.7308053151542559E-2</c:v>
                </c:pt>
                <c:pt idx="2">
                  <c:v>4.6745016880583169E-2</c:v>
                </c:pt>
                <c:pt idx="3">
                  <c:v>4.6044267422174677E-2</c:v>
                </c:pt>
                <c:pt idx="4">
                  <c:v>4.5038073280051966E-2</c:v>
                </c:pt>
                <c:pt idx="5">
                  <c:v>4.4063388863700509E-2</c:v>
                </c:pt>
                <c:pt idx="6">
                  <c:v>4.3435937963527647E-2</c:v>
                </c:pt>
                <c:pt idx="7">
                  <c:v>4.2854527663088719E-2</c:v>
                </c:pt>
                <c:pt idx="8">
                  <c:v>4.2637405607297167E-2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D9-4701-8AEE-1D7078CA2132}"/>
            </c:ext>
          </c:extLst>
        </c:ser>
        <c:ser>
          <c:idx val="1"/>
          <c:order val="1"/>
          <c:tx>
            <c:v>Grayscale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Grayscale!$K$20:$K$35</c:f>
              <c:numCache>
                <c:formatCode>0.00</c:formatCode>
                <c:ptCount val="16"/>
              </c:numCache>
            </c:numRef>
          </c:xVal>
          <c:yVal>
            <c:numRef>
              <c:f>Grayscale!$G$2:$G$17</c:f>
              <c:numCache>
                <c:formatCode>0.000</c:formatCode>
                <c:ptCount val="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D9-4701-8AEE-1D7078CA2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87776"/>
        <c:axId val="194188168"/>
      </c:scatterChart>
      <c:valAx>
        <c:axId val="194187776"/>
        <c:scaling>
          <c:orientation val="minMax"/>
          <c:max val="2.8499999999999996"/>
          <c:min val="2.449999999999999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Voltage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8168"/>
        <c:crosses val="autoZero"/>
        <c:crossBetween val="midCat"/>
      </c:valAx>
      <c:valAx>
        <c:axId val="19418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CIEy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7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 altLang="zh-TW"/>
              <a:t>γ</a:t>
            </a:r>
            <a:r>
              <a:rPr lang="zh-TW" altLang="en-US"/>
              <a:t> </a:t>
            </a:r>
            <a:r>
              <a:rPr lang="en-US" altLang="zh-TW"/>
              <a:t>Curve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Gamma!$D$1</c:f>
              <c:strCache>
                <c:ptCount val="1"/>
                <c:pt idx="0">
                  <c:v>γ=2.0</c:v>
                </c:pt>
              </c:strCache>
            </c:strRef>
          </c:tx>
          <c:spPr>
            <a:ln w="19050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20000"/>
                    <a:lumOff val="80000"/>
                  </a:schemeClr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Gamma!$D$2:$D$18</c:f>
              <c:numCache>
                <c:formatCode>0.00</c:formatCode>
                <c:ptCount val="17"/>
                <c:pt idx="0">
                  <c:v>0</c:v>
                </c:pt>
                <c:pt idx="1">
                  <c:v>3.90625E-3</c:v>
                </c:pt>
                <c:pt idx="2">
                  <c:v>1.5625E-2</c:v>
                </c:pt>
                <c:pt idx="3">
                  <c:v>3.515625E-2</c:v>
                </c:pt>
                <c:pt idx="4">
                  <c:v>6.25E-2</c:v>
                </c:pt>
                <c:pt idx="5">
                  <c:v>9.765625E-2</c:v>
                </c:pt>
                <c:pt idx="6">
                  <c:v>0.140625</c:v>
                </c:pt>
                <c:pt idx="7">
                  <c:v>0.19140625</c:v>
                </c:pt>
                <c:pt idx="8">
                  <c:v>0.25</c:v>
                </c:pt>
                <c:pt idx="9">
                  <c:v>0.31640625</c:v>
                </c:pt>
                <c:pt idx="10">
                  <c:v>0.390625</c:v>
                </c:pt>
                <c:pt idx="11">
                  <c:v>0.47265625</c:v>
                </c:pt>
                <c:pt idx="12">
                  <c:v>0.5625</c:v>
                </c:pt>
                <c:pt idx="13">
                  <c:v>0.66015625</c:v>
                </c:pt>
                <c:pt idx="14">
                  <c:v>0.765625</c:v>
                </c:pt>
                <c:pt idx="15">
                  <c:v>0.87890625</c:v>
                </c:pt>
                <c:pt idx="1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10-4704-B76E-1A0DAA4B87AB}"/>
            </c:ext>
          </c:extLst>
        </c:ser>
        <c:ser>
          <c:idx val="3"/>
          <c:order val="3"/>
          <c:tx>
            <c:strRef>
              <c:f>Gamma!$E$1</c:f>
              <c:strCache>
                <c:ptCount val="1"/>
                <c:pt idx="0">
                  <c:v>γ=2.2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Gamma!$E$2:$E$18</c:f>
              <c:numCache>
                <c:formatCode>0.00</c:formatCode>
                <c:ptCount val="17"/>
                <c:pt idx="0">
                  <c:v>0</c:v>
                </c:pt>
                <c:pt idx="1">
                  <c:v>2.2435514746035842E-3</c:v>
                </c:pt>
                <c:pt idx="2">
                  <c:v>1.0308655552913239E-2</c:v>
                </c:pt>
                <c:pt idx="3">
                  <c:v>2.5153753378803309E-2</c:v>
                </c:pt>
                <c:pt idx="4">
                  <c:v>4.7366142703449944E-2</c:v>
                </c:pt>
                <c:pt idx="5">
                  <c:v>7.7387362913140287E-2</c:v>
                </c:pt>
                <c:pt idx="6">
                  <c:v>0.11557630051292991</c:v>
                </c:pt>
                <c:pt idx="7">
                  <c:v>0.16223767959091667</c:v>
                </c:pt>
                <c:pt idx="8">
                  <c:v>0.21763764082403103</c:v>
                </c:pt>
                <c:pt idx="9">
                  <c:v>0.28201327948290289</c:v>
                </c:pt>
                <c:pt idx="10">
                  <c:v>0.35557894590353128</c:v>
                </c:pt>
                <c:pt idx="11">
                  <c:v>0.43853064274849257</c:v>
                </c:pt>
                <c:pt idx="12">
                  <c:v>0.53104922510338237</c:v>
                </c:pt>
                <c:pt idx="13">
                  <c:v>0.63330280739194678</c:v>
                </c:pt>
                <c:pt idx="14">
                  <c:v>0.7454486226584881</c:v>
                </c:pt>
                <c:pt idx="15">
                  <c:v>0.8676344908453798</c:v>
                </c:pt>
                <c:pt idx="1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10-4704-B76E-1A0DAA4B87AB}"/>
            </c:ext>
          </c:extLst>
        </c:ser>
        <c:ser>
          <c:idx val="4"/>
          <c:order val="4"/>
          <c:tx>
            <c:strRef>
              <c:f>Gamma!$F$1</c:f>
              <c:strCache>
                <c:ptCount val="1"/>
                <c:pt idx="0">
                  <c:v>γ=2.4</c:v>
                </c:pt>
              </c:strCache>
            </c:strRef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Gamma!$F$2:$F$18</c:f>
              <c:numCache>
                <c:formatCode>0.00</c:formatCode>
                <c:ptCount val="17"/>
                <c:pt idx="0">
                  <c:v>0</c:v>
                </c:pt>
                <c:pt idx="1">
                  <c:v>1.2885819441141547E-3</c:v>
                </c:pt>
                <c:pt idx="2">
                  <c:v>6.8011762757509715E-3</c:v>
                </c:pt>
                <c:pt idx="3">
                  <c:v>1.7997121679407202E-2</c:v>
                </c:pt>
                <c:pt idx="4">
                  <c:v>3.5896823593657347E-2</c:v>
                </c:pt>
                <c:pt idx="5">
                  <c:v>6.1325352331776856E-2</c:v>
                </c:pt>
                <c:pt idx="6">
                  <c:v>9.4989377708480663E-2</c:v>
                </c:pt>
                <c:pt idx="7">
                  <c:v>0.13751413383337766</c:v>
                </c:pt>
                <c:pt idx="8">
                  <c:v>0.18946457081379975</c:v>
                </c:pt>
                <c:pt idx="9">
                  <c:v>0.25135878259263811</c:v>
                </c:pt>
                <c:pt idx="10">
                  <c:v>0.32367715013085807</c:v>
                </c:pt>
                <c:pt idx="11">
                  <c:v>0.40686889177791691</c:v>
                </c:pt>
                <c:pt idx="12">
                  <c:v>0.50135694130293851</c:v>
                </c:pt>
                <c:pt idx="13">
                  <c:v>0.60754169312268314</c:v>
                </c:pt>
                <c:pt idx="14">
                  <c:v>0.72580394974489726</c:v>
                </c:pt>
                <c:pt idx="15">
                  <c:v>0.85650728926381103</c:v>
                </c:pt>
                <c:pt idx="16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10-4704-B76E-1A0DAA4B87AB}"/>
            </c:ext>
          </c:extLst>
        </c:ser>
        <c:ser>
          <c:idx val="6"/>
          <c:order val="6"/>
          <c:tx>
            <c:strRef>
              <c:f>Gamma!$H$1</c:f>
              <c:strCache>
                <c:ptCount val="1"/>
                <c:pt idx="0">
                  <c:v>Red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Gamma!$H$2:$H$18</c:f>
              <c:numCache>
                <c:formatCode>0.00_ </c:formatCode>
                <c:ptCount val="17"/>
                <c:pt idx="0" formatCode="0.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10-4704-B76E-1A0DAA4B87AB}"/>
            </c:ext>
          </c:extLst>
        </c:ser>
        <c:ser>
          <c:idx val="7"/>
          <c:order val="7"/>
          <c:tx>
            <c:strRef>
              <c:f>Gamma!$I$1</c:f>
              <c:strCache>
                <c:ptCount val="1"/>
                <c:pt idx="0">
                  <c:v>Green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Gamma!$I$2:$I$18</c:f>
              <c:numCache>
                <c:formatCode>0.00_ </c:formatCode>
                <c:ptCount val="17"/>
                <c:pt idx="0" formatCode="0.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10-4704-B76E-1A0DAA4B87AB}"/>
            </c:ext>
          </c:extLst>
        </c:ser>
        <c:ser>
          <c:idx val="8"/>
          <c:order val="8"/>
          <c:tx>
            <c:strRef>
              <c:f>Gamma!$J$1</c:f>
              <c:strCache>
                <c:ptCount val="1"/>
                <c:pt idx="0">
                  <c:v>Blue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Gamma!$A$2:$A$18</c:f>
              <c:numCache>
                <c:formatCode>0</c:formatCode>
                <c:ptCount val="17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</c:v>
                </c:pt>
                <c:pt idx="13">
                  <c:v>208</c:v>
                </c:pt>
                <c:pt idx="14">
                  <c:v>224</c:v>
                </c:pt>
                <c:pt idx="15">
                  <c:v>240</c:v>
                </c:pt>
                <c:pt idx="16">
                  <c:v>256</c:v>
                </c:pt>
              </c:numCache>
            </c:numRef>
          </c:xVal>
          <c:yVal>
            <c:numRef>
              <c:f>Gamma!$J$2:$J$18</c:f>
              <c:numCache>
                <c:formatCode>0.00_ </c:formatCode>
                <c:ptCount val="17"/>
                <c:pt idx="0" formatCode="0.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10-4704-B76E-1A0DAA4B8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88560"/>
        <c:axId val="1941909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Gamma!$B$1</c15:sqref>
                        </c15:formulaRef>
                      </c:ext>
                    </c:extLst>
                    <c:strCache>
                      <c:ptCount val="1"/>
                      <c:pt idx="0">
                        <c:v>γ=1.6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Gamma!$A$2:$A$18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0</c:v>
                      </c:pt>
                      <c:pt idx="1">
                        <c:v>16</c:v>
                      </c:pt>
                      <c:pt idx="2">
                        <c:v>32</c:v>
                      </c:pt>
                      <c:pt idx="3">
                        <c:v>48</c:v>
                      </c:pt>
                      <c:pt idx="4">
                        <c:v>64</c:v>
                      </c:pt>
                      <c:pt idx="5">
                        <c:v>80</c:v>
                      </c:pt>
                      <c:pt idx="6">
                        <c:v>96</c:v>
                      </c:pt>
                      <c:pt idx="7">
                        <c:v>112</c:v>
                      </c:pt>
                      <c:pt idx="8">
                        <c:v>128</c:v>
                      </c:pt>
                      <c:pt idx="9">
                        <c:v>144</c:v>
                      </c:pt>
                      <c:pt idx="10">
                        <c:v>160</c:v>
                      </c:pt>
                      <c:pt idx="11">
                        <c:v>176</c:v>
                      </c:pt>
                      <c:pt idx="12">
                        <c:v>192</c:v>
                      </c:pt>
                      <c:pt idx="13">
                        <c:v>208</c:v>
                      </c:pt>
                      <c:pt idx="14">
                        <c:v>224</c:v>
                      </c:pt>
                      <c:pt idx="15">
                        <c:v>240</c:v>
                      </c:pt>
                      <c:pt idx="16">
                        <c:v>256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Gamma!$B$2:$B$18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0</c:v>
                      </c:pt>
                      <c:pt idx="1">
                        <c:v>1.1841535675862489E-2</c:v>
                      </c:pt>
                      <c:pt idx="2">
                        <c:v>3.5896823593657347E-2</c:v>
                      </c:pt>
                      <c:pt idx="3">
                        <c:v>6.8675532458988775E-2</c:v>
                      </c:pt>
                      <c:pt idx="4">
                        <c:v>0.10881882041201553</c:v>
                      </c:pt>
                      <c:pt idx="5">
                        <c:v>0.15551061349745987</c:v>
                      </c:pt>
                      <c:pt idx="6">
                        <c:v>0.20818528452402374</c:v>
                      </c:pt>
                      <c:pt idx="7">
                        <c:v>0.26641881469037815</c:v>
                      </c:pt>
                      <c:pt idx="8">
                        <c:v>0.32987697769322361</c:v>
                      </c:pt>
                      <c:pt idx="9">
                        <c:v>0.39828691882753681</c:v>
                      </c:pt>
                      <c:pt idx="10">
                        <c:v>0.47142002629259083</c:v>
                      </c:pt>
                      <c:pt idx="11">
                        <c:v>0.54908088374080977</c:v>
                      </c:pt>
                      <c:pt idx="12">
                        <c:v>0.63109976931348721</c:v>
                      </c:pt>
                      <c:pt idx="13">
                        <c:v>0.7173273527518359</c:v>
                      </c:pt>
                      <c:pt idx="14">
                        <c:v>0.80763082211253989</c:v>
                      </c:pt>
                      <c:pt idx="15">
                        <c:v>0.90189097742883728</c:v>
                      </c:pt>
                      <c:pt idx="16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CB10-4704-B76E-1A0DAA4B87AB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Gamma!$C$1</c15:sqref>
                        </c15:formulaRef>
                      </c:ext>
                    </c:extLst>
                    <c:strCache>
                      <c:ptCount val="1"/>
                      <c:pt idx="0">
                        <c:v>γ=1.8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Gamma!$A$2:$A$18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0</c:v>
                      </c:pt>
                      <c:pt idx="1">
                        <c:v>16</c:v>
                      </c:pt>
                      <c:pt idx="2">
                        <c:v>32</c:v>
                      </c:pt>
                      <c:pt idx="3">
                        <c:v>48</c:v>
                      </c:pt>
                      <c:pt idx="4">
                        <c:v>64</c:v>
                      </c:pt>
                      <c:pt idx="5">
                        <c:v>80</c:v>
                      </c:pt>
                      <c:pt idx="6">
                        <c:v>96</c:v>
                      </c:pt>
                      <c:pt idx="7">
                        <c:v>112</c:v>
                      </c:pt>
                      <c:pt idx="8">
                        <c:v>128</c:v>
                      </c:pt>
                      <c:pt idx="9">
                        <c:v>144</c:v>
                      </c:pt>
                      <c:pt idx="10">
                        <c:v>160</c:v>
                      </c:pt>
                      <c:pt idx="11">
                        <c:v>176</c:v>
                      </c:pt>
                      <c:pt idx="12">
                        <c:v>192</c:v>
                      </c:pt>
                      <c:pt idx="13">
                        <c:v>208</c:v>
                      </c:pt>
                      <c:pt idx="14">
                        <c:v>224</c:v>
                      </c:pt>
                      <c:pt idx="15">
                        <c:v>240</c:v>
                      </c:pt>
                      <c:pt idx="16">
                        <c:v>256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Gamma!$C$2:$C$18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0</c:v>
                      </c:pt>
                      <c:pt idx="1">
                        <c:v>6.8011762757509715E-3</c:v>
                      </c:pt>
                      <c:pt idx="2">
                        <c:v>2.3683071351724979E-2</c:v>
                      </c:pt>
                      <c:pt idx="3">
                        <c:v>4.9136281788626661E-2</c:v>
                      </c:pt>
                      <c:pt idx="4">
                        <c:v>8.2469244423305901E-2</c:v>
                      </c:pt>
                      <c:pt idx="5">
                        <c:v>0.12323385634378772</c:v>
                      </c:pt>
                      <c:pt idx="6">
                        <c:v>0.17110247115746413</c:v>
                      </c:pt>
                      <c:pt idx="7">
                        <c:v>0.22581901215205549</c:v>
                      </c:pt>
                      <c:pt idx="8">
                        <c:v>0.28717458874925877</c:v>
                      </c:pt>
                      <c:pt idx="9">
                        <c:v>0.35499362023883657</c:v>
                      </c:pt>
                      <c:pt idx="10">
                        <c:v>0.42912521222895222</c:v>
                      </c:pt>
                      <c:pt idx="11">
                        <c:v>0.50943744606734309</c:v>
                      </c:pt>
                      <c:pt idx="12">
                        <c:v>0.59581341058995696</c:v>
                      </c:pt>
                      <c:pt idx="13">
                        <c:v>0.68814833808930986</c:v>
                      </c:pt>
                      <c:pt idx="14">
                        <c:v>0.78634747292778484</c:v>
                      </c:pt>
                      <c:pt idx="15">
                        <c:v>0.89032444472833272</c:v>
                      </c:pt>
                      <c:pt idx="1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B10-4704-B76E-1A0DAA4B87AB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Gamma!$G$1</c15:sqref>
                        </c15:formulaRef>
                      </c:ext>
                    </c:extLst>
                    <c:strCache>
                      <c:ptCount val="1"/>
                      <c:pt idx="0">
                        <c:v>γ=2.6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Gamma!$A$2:$A$18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0</c:v>
                      </c:pt>
                      <c:pt idx="1">
                        <c:v>16</c:v>
                      </c:pt>
                      <c:pt idx="2">
                        <c:v>32</c:v>
                      </c:pt>
                      <c:pt idx="3">
                        <c:v>48</c:v>
                      </c:pt>
                      <c:pt idx="4">
                        <c:v>64</c:v>
                      </c:pt>
                      <c:pt idx="5">
                        <c:v>80</c:v>
                      </c:pt>
                      <c:pt idx="6">
                        <c:v>96</c:v>
                      </c:pt>
                      <c:pt idx="7">
                        <c:v>112</c:v>
                      </c:pt>
                      <c:pt idx="8">
                        <c:v>128</c:v>
                      </c:pt>
                      <c:pt idx="9">
                        <c:v>144</c:v>
                      </c:pt>
                      <c:pt idx="10">
                        <c:v>160</c:v>
                      </c:pt>
                      <c:pt idx="11">
                        <c:v>176</c:v>
                      </c:pt>
                      <c:pt idx="12">
                        <c:v>192</c:v>
                      </c:pt>
                      <c:pt idx="13">
                        <c:v>208</c:v>
                      </c:pt>
                      <c:pt idx="14">
                        <c:v>224</c:v>
                      </c:pt>
                      <c:pt idx="15">
                        <c:v>240</c:v>
                      </c:pt>
                      <c:pt idx="16">
                        <c:v>256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Gamma!$G$2:$G$18</c15:sqref>
                        </c15:formulaRef>
                      </c:ext>
                    </c:extLst>
                    <c:numCache>
                      <c:formatCode>0.00</c:formatCode>
                      <c:ptCount val="17"/>
                      <c:pt idx="0">
                        <c:v>0</c:v>
                      </c:pt>
                      <c:pt idx="1">
                        <c:v>7.4009597974140527E-4</c:v>
                      </c:pt>
                      <c:pt idx="2">
                        <c:v>4.4871029492071692E-3</c:v>
                      </c:pt>
                      <c:pt idx="3">
                        <c:v>1.2876662336060394E-2</c:v>
                      </c:pt>
                      <c:pt idx="4">
                        <c:v>2.7204705103003879E-2</c:v>
                      </c:pt>
                      <c:pt idx="5">
                        <c:v>4.8597066717956196E-2</c:v>
                      </c:pt>
                      <c:pt idx="6">
                        <c:v>7.8069481696508902E-2</c:v>
                      </c:pt>
                      <c:pt idx="7">
                        <c:v>0.11655823142704044</c:v>
                      </c:pt>
                      <c:pt idx="8">
                        <c:v>0.16493848884661177</c:v>
                      </c:pt>
                      <c:pt idx="9">
                        <c:v>0.22403639184048946</c:v>
                      </c:pt>
                      <c:pt idx="10">
                        <c:v>0.29463751643286928</c:v>
                      </c:pt>
                      <c:pt idx="11">
                        <c:v>0.37749310757180671</c:v>
                      </c:pt>
                      <c:pt idx="12">
                        <c:v>0.47332482698511547</c:v>
                      </c:pt>
                      <c:pt idx="13">
                        <c:v>0.58282847411086658</c:v>
                      </c:pt>
                      <c:pt idx="14">
                        <c:v>0.70667696934847235</c:v>
                      </c:pt>
                      <c:pt idx="15">
                        <c:v>0.84552279133953501</c:v>
                      </c:pt>
                      <c:pt idx="1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B10-4704-B76E-1A0DAA4B87AB}"/>
                  </c:ext>
                </c:extLst>
              </c15:ser>
            </c15:filteredScatterSeries>
          </c:ext>
        </c:extLst>
      </c:scatterChart>
      <c:valAx>
        <c:axId val="194188560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90912"/>
        <c:crosses val="autoZero"/>
        <c:crossBetween val="midCat"/>
        <c:majorUnit val="16"/>
      </c:valAx>
      <c:valAx>
        <c:axId val="19419091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8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RD_CF 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CFData!$A$3:$A$203</c:f>
              <c:numCache>
                <c:formatCode>General</c:formatCode>
                <c:ptCount val="201"/>
                <c:pt idx="0">
                  <c:v>380</c:v>
                </c:pt>
                <c:pt idx="1">
                  <c:v>382</c:v>
                </c:pt>
                <c:pt idx="2">
                  <c:v>384</c:v>
                </c:pt>
                <c:pt idx="3">
                  <c:v>386</c:v>
                </c:pt>
                <c:pt idx="4">
                  <c:v>388</c:v>
                </c:pt>
                <c:pt idx="5">
                  <c:v>390</c:v>
                </c:pt>
                <c:pt idx="6">
                  <c:v>392</c:v>
                </c:pt>
                <c:pt idx="7">
                  <c:v>394</c:v>
                </c:pt>
                <c:pt idx="8">
                  <c:v>396</c:v>
                </c:pt>
                <c:pt idx="9">
                  <c:v>398</c:v>
                </c:pt>
                <c:pt idx="10">
                  <c:v>400</c:v>
                </c:pt>
                <c:pt idx="11">
                  <c:v>402</c:v>
                </c:pt>
                <c:pt idx="12">
                  <c:v>404</c:v>
                </c:pt>
                <c:pt idx="13">
                  <c:v>406</c:v>
                </c:pt>
                <c:pt idx="14">
                  <c:v>408</c:v>
                </c:pt>
                <c:pt idx="15">
                  <c:v>410</c:v>
                </c:pt>
                <c:pt idx="16">
                  <c:v>412</c:v>
                </c:pt>
                <c:pt idx="17">
                  <c:v>414</c:v>
                </c:pt>
                <c:pt idx="18">
                  <c:v>416</c:v>
                </c:pt>
                <c:pt idx="19">
                  <c:v>418</c:v>
                </c:pt>
                <c:pt idx="20">
                  <c:v>420</c:v>
                </c:pt>
                <c:pt idx="21">
                  <c:v>422</c:v>
                </c:pt>
                <c:pt idx="22">
                  <c:v>424</c:v>
                </c:pt>
                <c:pt idx="23">
                  <c:v>426</c:v>
                </c:pt>
                <c:pt idx="24">
                  <c:v>428</c:v>
                </c:pt>
                <c:pt idx="25">
                  <c:v>430</c:v>
                </c:pt>
                <c:pt idx="26">
                  <c:v>432</c:v>
                </c:pt>
                <c:pt idx="27">
                  <c:v>434</c:v>
                </c:pt>
                <c:pt idx="28">
                  <c:v>436</c:v>
                </c:pt>
                <c:pt idx="29">
                  <c:v>438</c:v>
                </c:pt>
                <c:pt idx="30">
                  <c:v>440</c:v>
                </c:pt>
                <c:pt idx="31">
                  <c:v>442</c:v>
                </c:pt>
                <c:pt idx="32">
                  <c:v>444</c:v>
                </c:pt>
                <c:pt idx="33">
                  <c:v>446</c:v>
                </c:pt>
                <c:pt idx="34">
                  <c:v>448</c:v>
                </c:pt>
                <c:pt idx="35">
                  <c:v>450</c:v>
                </c:pt>
                <c:pt idx="36">
                  <c:v>452</c:v>
                </c:pt>
                <c:pt idx="37">
                  <c:v>454</c:v>
                </c:pt>
                <c:pt idx="38">
                  <c:v>456</c:v>
                </c:pt>
                <c:pt idx="39">
                  <c:v>458</c:v>
                </c:pt>
                <c:pt idx="40">
                  <c:v>460</c:v>
                </c:pt>
                <c:pt idx="41">
                  <c:v>462</c:v>
                </c:pt>
                <c:pt idx="42">
                  <c:v>464</c:v>
                </c:pt>
                <c:pt idx="43">
                  <c:v>466</c:v>
                </c:pt>
                <c:pt idx="44">
                  <c:v>468</c:v>
                </c:pt>
                <c:pt idx="45">
                  <c:v>470</c:v>
                </c:pt>
                <c:pt idx="46">
                  <c:v>472</c:v>
                </c:pt>
                <c:pt idx="47">
                  <c:v>474</c:v>
                </c:pt>
                <c:pt idx="48">
                  <c:v>476</c:v>
                </c:pt>
                <c:pt idx="49">
                  <c:v>478</c:v>
                </c:pt>
                <c:pt idx="50">
                  <c:v>480</c:v>
                </c:pt>
                <c:pt idx="51">
                  <c:v>482</c:v>
                </c:pt>
                <c:pt idx="52">
                  <c:v>484</c:v>
                </c:pt>
                <c:pt idx="53">
                  <c:v>486</c:v>
                </c:pt>
                <c:pt idx="54">
                  <c:v>488</c:v>
                </c:pt>
                <c:pt idx="55">
                  <c:v>490</c:v>
                </c:pt>
                <c:pt idx="56">
                  <c:v>492</c:v>
                </c:pt>
                <c:pt idx="57">
                  <c:v>494</c:v>
                </c:pt>
                <c:pt idx="58">
                  <c:v>496</c:v>
                </c:pt>
                <c:pt idx="59">
                  <c:v>498</c:v>
                </c:pt>
                <c:pt idx="60">
                  <c:v>500</c:v>
                </c:pt>
                <c:pt idx="61">
                  <c:v>502</c:v>
                </c:pt>
                <c:pt idx="62">
                  <c:v>504</c:v>
                </c:pt>
                <c:pt idx="63">
                  <c:v>506</c:v>
                </c:pt>
                <c:pt idx="64">
                  <c:v>508</c:v>
                </c:pt>
                <c:pt idx="65">
                  <c:v>510</c:v>
                </c:pt>
                <c:pt idx="66">
                  <c:v>512</c:v>
                </c:pt>
                <c:pt idx="67">
                  <c:v>514</c:v>
                </c:pt>
                <c:pt idx="68">
                  <c:v>516</c:v>
                </c:pt>
                <c:pt idx="69">
                  <c:v>518</c:v>
                </c:pt>
                <c:pt idx="70">
                  <c:v>520</c:v>
                </c:pt>
                <c:pt idx="71">
                  <c:v>522</c:v>
                </c:pt>
                <c:pt idx="72">
                  <c:v>524</c:v>
                </c:pt>
                <c:pt idx="73">
                  <c:v>526</c:v>
                </c:pt>
                <c:pt idx="74">
                  <c:v>528</c:v>
                </c:pt>
                <c:pt idx="75">
                  <c:v>530</c:v>
                </c:pt>
                <c:pt idx="76">
                  <c:v>532</c:v>
                </c:pt>
                <c:pt idx="77">
                  <c:v>534</c:v>
                </c:pt>
                <c:pt idx="78">
                  <c:v>536</c:v>
                </c:pt>
                <c:pt idx="79">
                  <c:v>538</c:v>
                </c:pt>
                <c:pt idx="80">
                  <c:v>540</c:v>
                </c:pt>
                <c:pt idx="81">
                  <c:v>542</c:v>
                </c:pt>
                <c:pt idx="82">
                  <c:v>544</c:v>
                </c:pt>
                <c:pt idx="83">
                  <c:v>546</c:v>
                </c:pt>
                <c:pt idx="84">
                  <c:v>548</c:v>
                </c:pt>
                <c:pt idx="85">
                  <c:v>550</c:v>
                </c:pt>
                <c:pt idx="86">
                  <c:v>552</c:v>
                </c:pt>
                <c:pt idx="87">
                  <c:v>554</c:v>
                </c:pt>
                <c:pt idx="88">
                  <c:v>556</c:v>
                </c:pt>
                <c:pt idx="89">
                  <c:v>558</c:v>
                </c:pt>
                <c:pt idx="90">
                  <c:v>560</c:v>
                </c:pt>
                <c:pt idx="91">
                  <c:v>562</c:v>
                </c:pt>
                <c:pt idx="92">
                  <c:v>564</c:v>
                </c:pt>
                <c:pt idx="93">
                  <c:v>566</c:v>
                </c:pt>
                <c:pt idx="94">
                  <c:v>568</c:v>
                </c:pt>
                <c:pt idx="95">
                  <c:v>570</c:v>
                </c:pt>
                <c:pt idx="96">
                  <c:v>572</c:v>
                </c:pt>
                <c:pt idx="97">
                  <c:v>574</c:v>
                </c:pt>
                <c:pt idx="98">
                  <c:v>576</c:v>
                </c:pt>
                <c:pt idx="99">
                  <c:v>578</c:v>
                </c:pt>
                <c:pt idx="100">
                  <c:v>580</c:v>
                </c:pt>
                <c:pt idx="101">
                  <c:v>582</c:v>
                </c:pt>
                <c:pt idx="102">
                  <c:v>584</c:v>
                </c:pt>
                <c:pt idx="103">
                  <c:v>586</c:v>
                </c:pt>
                <c:pt idx="104">
                  <c:v>588</c:v>
                </c:pt>
                <c:pt idx="105">
                  <c:v>590</c:v>
                </c:pt>
                <c:pt idx="106">
                  <c:v>592</c:v>
                </c:pt>
                <c:pt idx="107">
                  <c:v>594</c:v>
                </c:pt>
                <c:pt idx="108">
                  <c:v>596</c:v>
                </c:pt>
                <c:pt idx="109">
                  <c:v>598</c:v>
                </c:pt>
                <c:pt idx="110">
                  <c:v>600</c:v>
                </c:pt>
                <c:pt idx="111">
                  <c:v>602</c:v>
                </c:pt>
                <c:pt idx="112">
                  <c:v>604</c:v>
                </c:pt>
                <c:pt idx="113">
                  <c:v>606</c:v>
                </c:pt>
                <c:pt idx="114">
                  <c:v>608</c:v>
                </c:pt>
                <c:pt idx="115">
                  <c:v>610</c:v>
                </c:pt>
                <c:pt idx="116">
                  <c:v>612</c:v>
                </c:pt>
                <c:pt idx="117">
                  <c:v>614</c:v>
                </c:pt>
                <c:pt idx="118">
                  <c:v>616</c:v>
                </c:pt>
                <c:pt idx="119">
                  <c:v>618</c:v>
                </c:pt>
                <c:pt idx="120">
                  <c:v>620</c:v>
                </c:pt>
                <c:pt idx="121">
                  <c:v>622</c:v>
                </c:pt>
                <c:pt idx="122">
                  <c:v>624</c:v>
                </c:pt>
                <c:pt idx="123">
                  <c:v>626</c:v>
                </c:pt>
                <c:pt idx="124">
                  <c:v>628</c:v>
                </c:pt>
                <c:pt idx="125">
                  <c:v>630</c:v>
                </c:pt>
                <c:pt idx="126">
                  <c:v>632</c:v>
                </c:pt>
                <c:pt idx="127">
                  <c:v>634</c:v>
                </c:pt>
                <c:pt idx="128">
                  <c:v>636</c:v>
                </c:pt>
                <c:pt idx="129">
                  <c:v>638</c:v>
                </c:pt>
                <c:pt idx="130">
                  <c:v>640</c:v>
                </c:pt>
                <c:pt idx="131">
                  <c:v>642</c:v>
                </c:pt>
                <c:pt idx="132">
                  <c:v>644</c:v>
                </c:pt>
                <c:pt idx="133">
                  <c:v>646</c:v>
                </c:pt>
                <c:pt idx="134">
                  <c:v>648</c:v>
                </c:pt>
                <c:pt idx="135">
                  <c:v>650</c:v>
                </c:pt>
                <c:pt idx="136">
                  <c:v>652</c:v>
                </c:pt>
                <c:pt idx="137">
                  <c:v>654</c:v>
                </c:pt>
                <c:pt idx="138">
                  <c:v>656</c:v>
                </c:pt>
                <c:pt idx="139">
                  <c:v>658</c:v>
                </c:pt>
                <c:pt idx="140">
                  <c:v>660</c:v>
                </c:pt>
                <c:pt idx="141">
                  <c:v>662</c:v>
                </c:pt>
                <c:pt idx="142">
                  <c:v>664</c:v>
                </c:pt>
                <c:pt idx="143">
                  <c:v>666</c:v>
                </c:pt>
                <c:pt idx="144">
                  <c:v>668</c:v>
                </c:pt>
                <c:pt idx="145">
                  <c:v>670</c:v>
                </c:pt>
                <c:pt idx="146">
                  <c:v>672</c:v>
                </c:pt>
                <c:pt idx="147">
                  <c:v>674</c:v>
                </c:pt>
                <c:pt idx="148">
                  <c:v>676</c:v>
                </c:pt>
                <c:pt idx="149">
                  <c:v>678</c:v>
                </c:pt>
                <c:pt idx="150">
                  <c:v>680</c:v>
                </c:pt>
                <c:pt idx="151">
                  <c:v>682</c:v>
                </c:pt>
                <c:pt idx="152">
                  <c:v>684</c:v>
                </c:pt>
                <c:pt idx="153">
                  <c:v>686</c:v>
                </c:pt>
                <c:pt idx="154">
                  <c:v>688</c:v>
                </c:pt>
                <c:pt idx="155">
                  <c:v>690</c:v>
                </c:pt>
                <c:pt idx="156">
                  <c:v>692</c:v>
                </c:pt>
                <c:pt idx="157">
                  <c:v>694</c:v>
                </c:pt>
                <c:pt idx="158">
                  <c:v>696</c:v>
                </c:pt>
                <c:pt idx="159">
                  <c:v>698</c:v>
                </c:pt>
                <c:pt idx="160">
                  <c:v>700</c:v>
                </c:pt>
                <c:pt idx="161">
                  <c:v>702</c:v>
                </c:pt>
                <c:pt idx="162">
                  <c:v>704</c:v>
                </c:pt>
                <c:pt idx="163">
                  <c:v>706</c:v>
                </c:pt>
                <c:pt idx="164">
                  <c:v>708</c:v>
                </c:pt>
                <c:pt idx="165">
                  <c:v>710</c:v>
                </c:pt>
                <c:pt idx="166">
                  <c:v>712</c:v>
                </c:pt>
                <c:pt idx="167">
                  <c:v>714</c:v>
                </c:pt>
                <c:pt idx="168">
                  <c:v>716</c:v>
                </c:pt>
                <c:pt idx="169">
                  <c:v>718</c:v>
                </c:pt>
                <c:pt idx="170">
                  <c:v>720</c:v>
                </c:pt>
                <c:pt idx="171">
                  <c:v>722</c:v>
                </c:pt>
                <c:pt idx="172">
                  <c:v>724</c:v>
                </c:pt>
                <c:pt idx="173">
                  <c:v>726</c:v>
                </c:pt>
                <c:pt idx="174">
                  <c:v>728</c:v>
                </c:pt>
                <c:pt idx="175">
                  <c:v>730</c:v>
                </c:pt>
                <c:pt idx="176">
                  <c:v>732</c:v>
                </c:pt>
                <c:pt idx="177">
                  <c:v>734</c:v>
                </c:pt>
                <c:pt idx="178">
                  <c:v>736</c:v>
                </c:pt>
                <c:pt idx="179">
                  <c:v>738</c:v>
                </c:pt>
                <c:pt idx="180">
                  <c:v>740</c:v>
                </c:pt>
                <c:pt idx="181">
                  <c:v>742</c:v>
                </c:pt>
                <c:pt idx="182">
                  <c:v>744</c:v>
                </c:pt>
                <c:pt idx="183">
                  <c:v>746</c:v>
                </c:pt>
                <c:pt idx="184">
                  <c:v>748</c:v>
                </c:pt>
                <c:pt idx="185">
                  <c:v>750</c:v>
                </c:pt>
                <c:pt idx="186">
                  <c:v>752</c:v>
                </c:pt>
                <c:pt idx="187">
                  <c:v>754</c:v>
                </c:pt>
                <c:pt idx="188">
                  <c:v>756</c:v>
                </c:pt>
                <c:pt idx="189">
                  <c:v>758</c:v>
                </c:pt>
                <c:pt idx="190">
                  <c:v>760</c:v>
                </c:pt>
                <c:pt idx="191">
                  <c:v>762</c:v>
                </c:pt>
                <c:pt idx="192">
                  <c:v>764</c:v>
                </c:pt>
                <c:pt idx="193">
                  <c:v>766</c:v>
                </c:pt>
                <c:pt idx="194">
                  <c:v>768</c:v>
                </c:pt>
                <c:pt idx="195">
                  <c:v>770</c:v>
                </c:pt>
                <c:pt idx="196">
                  <c:v>772</c:v>
                </c:pt>
                <c:pt idx="197">
                  <c:v>774</c:v>
                </c:pt>
                <c:pt idx="198">
                  <c:v>776</c:v>
                </c:pt>
                <c:pt idx="199">
                  <c:v>778</c:v>
                </c:pt>
                <c:pt idx="200">
                  <c:v>780</c:v>
                </c:pt>
              </c:numCache>
            </c:numRef>
          </c:xVal>
          <c:yVal>
            <c:numRef>
              <c:f>CFData!$D$3:$D$203</c:f>
              <c:numCache>
                <c:formatCode>General</c:formatCode>
                <c:ptCount val="201"/>
                <c:pt idx="0">
                  <c:v>8.8715577956065356E-2</c:v>
                </c:pt>
                <c:pt idx="1">
                  <c:v>0.11746903527827177</c:v>
                </c:pt>
                <c:pt idx="2">
                  <c:v>0.14847804260767225</c:v>
                </c:pt>
                <c:pt idx="3">
                  <c:v>0.18102362879557957</c:v>
                </c:pt>
                <c:pt idx="4">
                  <c:v>0.21843193021309054</c:v>
                </c:pt>
                <c:pt idx="5">
                  <c:v>0.25586130164982501</c:v>
                </c:pt>
                <c:pt idx="6">
                  <c:v>0.29373047389607532</c:v>
                </c:pt>
                <c:pt idx="7">
                  <c:v>0.32929726947579691</c:v>
                </c:pt>
                <c:pt idx="8">
                  <c:v>0.36401384874720094</c:v>
                </c:pt>
                <c:pt idx="9">
                  <c:v>0.39737447192460967</c:v>
                </c:pt>
                <c:pt idx="10">
                  <c:v>0.4309591037155926</c:v>
                </c:pt>
                <c:pt idx="11">
                  <c:v>0.46345328538452163</c:v>
                </c:pt>
                <c:pt idx="12">
                  <c:v>0.4932605600642474</c:v>
                </c:pt>
                <c:pt idx="13">
                  <c:v>0.51939455225606013</c:v>
                </c:pt>
                <c:pt idx="14">
                  <c:v>0.54388182999850265</c:v>
                </c:pt>
                <c:pt idx="15">
                  <c:v>0.56424489124706112</c:v>
                </c:pt>
                <c:pt idx="16">
                  <c:v>0.57818653043800095</c:v>
                </c:pt>
                <c:pt idx="17">
                  <c:v>0.58597750374514401</c:v>
                </c:pt>
                <c:pt idx="18">
                  <c:v>0.58771962158047719</c:v>
                </c:pt>
                <c:pt idx="19">
                  <c:v>0.59399671746700045</c:v>
                </c:pt>
                <c:pt idx="20">
                  <c:v>0.60745941168788664</c:v>
                </c:pt>
                <c:pt idx="21">
                  <c:v>0.62873373396493426</c:v>
                </c:pt>
                <c:pt idx="22">
                  <c:v>0.64681855365579755</c:v>
                </c:pt>
                <c:pt idx="23">
                  <c:v>0.65835082477804208</c:v>
                </c:pt>
                <c:pt idx="24">
                  <c:v>0.66418109981110351</c:v>
                </c:pt>
                <c:pt idx="25">
                  <c:v>0.66869080570408823</c:v>
                </c:pt>
                <c:pt idx="26">
                  <c:v>0.67951340970772012</c:v>
                </c:pt>
                <c:pt idx="27">
                  <c:v>0.69438002373130803</c:v>
                </c:pt>
                <c:pt idx="28">
                  <c:v>0.71100906428074295</c:v>
                </c:pt>
                <c:pt idx="29">
                  <c:v>0.72832536713247853</c:v>
                </c:pt>
                <c:pt idx="30">
                  <c:v>0.74582755283799218</c:v>
                </c:pt>
                <c:pt idx="31">
                  <c:v>0.7612694347444795</c:v>
                </c:pt>
                <c:pt idx="32">
                  <c:v>0.774371051521902</c:v>
                </c:pt>
                <c:pt idx="33">
                  <c:v>0.77825593395416093</c:v>
                </c:pt>
                <c:pt idx="34">
                  <c:v>0.7815293112344196</c:v>
                </c:pt>
                <c:pt idx="35">
                  <c:v>0.78587574672504079</c:v>
                </c:pt>
                <c:pt idx="36">
                  <c:v>0.78604424755451319</c:v>
                </c:pt>
                <c:pt idx="37">
                  <c:v>0.78673808496839714</c:v>
                </c:pt>
                <c:pt idx="38">
                  <c:v>0.78469107970332463</c:v>
                </c:pt>
                <c:pt idx="39">
                  <c:v>0.78139975681776785</c:v>
                </c:pt>
                <c:pt idx="40">
                  <c:v>0.77875018459749357</c:v>
                </c:pt>
                <c:pt idx="41">
                  <c:v>0.77432959371307808</c:v>
                </c:pt>
                <c:pt idx="42">
                  <c:v>0.77061118519619465</c:v>
                </c:pt>
                <c:pt idx="43">
                  <c:v>0.76443037267297409</c:v>
                </c:pt>
                <c:pt idx="44">
                  <c:v>0.75820755853470834</c:v>
                </c:pt>
                <c:pt idx="45">
                  <c:v>0.75087592351149945</c:v>
                </c:pt>
                <c:pt idx="46">
                  <c:v>0.74139640222550018</c:v>
                </c:pt>
                <c:pt idx="47">
                  <c:v>0.73142489450752557</c:v>
                </c:pt>
                <c:pt idx="48">
                  <c:v>0.72086314940449059</c:v>
                </c:pt>
                <c:pt idx="49">
                  <c:v>0.70796592466713715</c:v>
                </c:pt>
                <c:pt idx="50">
                  <c:v>0.69931083338718658</c:v>
                </c:pt>
                <c:pt idx="51">
                  <c:v>0.69069855448791995</c:v>
                </c:pt>
                <c:pt idx="52">
                  <c:v>0.66821771406645147</c:v>
                </c:pt>
                <c:pt idx="53">
                  <c:v>0.64862201283287757</c:v>
                </c:pt>
                <c:pt idx="54">
                  <c:v>0.62822030179307342</c:v>
                </c:pt>
                <c:pt idx="55">
                  <c:v>0.60549139674828389</c:v>
                </c:pt>
                <c:pt idx="56">
                  <c:v>0.58355043725579636</c:v>
                </c:pt>
                <c:pt idx="57">
                  <c:v>0.558692679165957</c:v>
                </c:pt>
                <c:pt idx="58">
                  <c:v>0.5335465356933442</c:v>
                </c:pt>
                <c:pt idx="59">
                  <c:v>0.50695718983409044</c:v>
                </c:pt>
                <c:pt idx="60">
                  <c:v>0.47868756185054212</c:v>
                </c:pt>
                <c:pt idx="61">
                  <c:v>0.44761284295485393</c:v>
                </c:pt>
                <c:pt idx="62">
                  <c:v>0.41756953660037344</c:v>
                </c:pt>
                <c:pt idx="63">
                  <c:v>0.3865679645851241</c:v>
                </c:pt>
                <c:pt idx="64">
                  <c:v>0.35624428163039984</c:v>
                </c:pt>
                <c:pt idx="65">
                  <c:v>0.32667996968290203</c:v>
                </c:pt>
                <c:pt idx="66">
                  <c:v>0.2974851097946738</c:v>
                </c:pt>
                <c:pt idx="67">
                  <c:v>0.27080991176417774</c:v>
                </c:pt>
                <c:pt idx="68">
                  <c:v>0.24591757748605855</c:v>
                </c:pt>
                <c:pt idx="69">
                  <c:v>0.22171707348249786</c:v>
                </c:pt>
                <c:pt idx="70">
                  <c:v>0.1994162922445481</c:v>
                </c:pt>
                <c:pt idx="71">
                  <c:v>0.17893281252385329</c:v>
                </c:pt>
                <c:pt idx="72">
                  <c:v>0.15962978779850709</c:v>
                </c:pt>
                <c:pt idx="73">
                  <c:v>0.14100217039984034</c:v>
                </c:pt>
                <c:pt idx="74">
                  <c:v>0.12279501408398788</c:v>
                </c:pt>
                <c:pt idx="75">
                  <c:v>0.10586912454950104</c:v>
                </c:pt>
                <c:pt idx="76">
                  <c:v>9.0377677177801541E-2</c:v>
                </c:pt>
                <c:pt idx="77">
                  <c:v>7.6077936646535685E-2</c:v>
                </c:pt>
                <c:pt idx="78">
                  <c:v>6.3001977635366024E-2</c:v>
                </c:pt>
                <c:pt idx="79">
                  <c:v>5.0375370648432956E-2</c:v>
                </c:pt>
                <c:pt idx="80">
                  <c:v>3.9088919712924101E-2</c:v>
                </c:pt>
                <c:pt idx="81">
                  <c:v>3.0704446183393921E-2</c:v>
                </c:pt>
                <c:pt idx="82">
                  <c:v>2.2982298969077875E-2</c:v>
                </c:pt>
                <c:pt idx="83">
                  <c:v>1.6448585870482681E-2</c:v>
                </c:pt>
                <c:pt idx="84">
                  <c:v>1.2583458435130561E-2</c:v>
                </c:pt>
                <c:pt idx="85">
                  <c:v>8.8570114735598247E-3</c:v>
                </c:pt>
                <c:pt idx="86">
                  <c:v>7.0230595985515685E-3</c:v>
                </c:pt>
                <c:pt idx="87">
                  <c:v>5.3750103520929732E-3</c:v>
                </c:pt>
                <c:pt idx="88">
                  <c:v>4.4720151781655511E-3</c:v>
                </c:pt>
                <c:pt idx="89">
                  <c:v>2.9281097667518221E-3</c:v>
                </c:pt>
                <c:pt idx="90">
                  <c:v>3.194920873624101E-3</c:v>
                </c:pt>
                <c:pt idx="91">
                  <c:v>2.4260184264486462E-3</c:v>
                </c:pt>
                <c:pt idx="92">
                  <c:v>2.2243157553278573E-3</c:v>
                </c:pt>
                <c:pt idx="93">
                  <c:v>2.0760445172823988E-3</c:v>
                </c:pt>
                <c:pt idx="94">
                  <c:v>1.9155920198829792E-3</c:v>
                </c:pt>
                <c:pt idx="95">
                  <c:v>2.3199663259368037E-3</c:v>
                </c:pt>
                <c:pt idx="96">
                  <c:v>1.939568930543171E-3</c:v>
                </c:pt>
                <c:pt idx="97">
                  <c:v>1.477808237078314E-3</c:v>
                </c:pt>
                <c:pt idx="98">
                  <c:v>1.5364008855617351E-3</c:v>
                </c:pt>
                <c:pt idx="99">
                  <c:v>2.4690582170069203E-3</c:v>
                </c:pt>
                <c:pt idx="100">
                  <c:v>1.615035265141325E-3</c:v>
                </c:pt>
                <c:pt idx="101">
                  <c:v>1.5475637441742533E-3</c:v>
                </c:pt>
                <c:pt idx="102">
                  <c:v>1.5061454848936168E-3</c:v>
                </c:pt>
                <c:pt idx="103">
                  <c:v>1.5652325026690008E-3</c:v>
                </c:pt>
                <c:pt idx="104">
                  <c:v>1.3492524463963285E-3</c:v>
                </c:pt>
                <c:pt idx="105">
                  <c:v>1.1950290020756392E-3</c:v>
                </c:pt>
                <c:pt idx="106">
                  <c:v>8.7293752097608905E-4</c:v>
                </c:pt>
                <c:pt idx="107">
                  <c:v>6.185153085603958E-4</c:v>
                </c:pt>
                <c:pt idx="108">
                  <c:v>9.5286714810062121E-4</c:v>
                </c:pt>
                <c:pt idx="109">
                  <c:v>5.1979964834128023E-4</c:v>
                </c:pt>
                <c:pt idx="110">
                  <c:v>1.1707950193836267E-3</c:v>
                </c:pt>
                <c:pt idx="111">
                  <c:v>4.0970360702118297E-4</c:v>
                </c:pt>
                <c:pt idx="112">
                  <c:v>7.4813893691302044E-4</c:v>
                </c:pt>
                <c:pt idx="113">
                  <c:v>6.753974392936261E-4</c:v>
                </c:pt>
                <c:pt idx="114">
                  <c:v>6.6230654044245336E-4</c:v>
                </c:pt>
                <c:pt idx="115">
                  <c:v>8.4803119604700725E-4</c:v>
                </c:pt>
                <c:pt idx="116">
                  <c:v>9.2558785057011853E-4</c:v>
                </c:pt>
                <c:pt idx="117">
                  <c:v>5.9925468094552828E-4</c:v>
                </c:pt>
                <c:pt idx="118">
                  <c:v>7.4830702247228784E-4</c:v>
                </c:pt>
                <c:pt idx="119">
                  <c:v>1.0450472462799896E-3</c:v>
                </c:pt>
                <c:pt idx="120">
                  <c:v>1.1098392856846236E-3</c:v>
                </c:pt>
                <c:pt idx="121">
                  <c:v>1.1885725391226059E-3</c:v>
                </c:pt>
                <c:pt idx="122">
                  <c:v>1.8192295574936061E-3</c:v>
                </c:pt>
                <c:pt idx="123">
                  <c:v>1.5086272187392696E-3</c:v>
                </c:pt>
                <c:pt idx="124">
                  <c:v>1.90881916058309E-3</c:v>
                </c:pt>
                <c:pt idx="125">
                  <c:v>2.4034257498059498E-3</c:v>
                </c:pt>
                <c:pt idx="126">
                  <c:v>2.4153993740572872E-3</c:v>
                </c:pt>
                <c:pt idx="127">
                  <c:v>2.8286130030514053E-3</c:v>
                </c:pt>
                <c:pt idx="128">
                  <c:v>3.4749217532059448E-3</c:v>
                </c:pt>
                <c:pt idx="129">
                  <c:v>3.5196325119710536E-3</c:v>
                </c:pt>
                <c:pt idx="130">
                  <c:v>4.2665849625833632E-3</c:v>
                </c:pt>
                <c:pt idx="131">
                  <c:v>4.680816992318924E-3</c:v>
                </c:pt>
                <c:pt idx="132">
                  <c:v>5.0449990749361802E-3</c:v>
                </c:pt>
                <c:pt idx="133">
                  <c:v>5.6583630554743252E-3</c:v>
                </c:pt>
                <c:pt idx="134">
                  <c:v>6.2272337997358249E-3</c:v>
                </c:pt>
                <c:pt idx="135">
                  <c:v>7.2748913158773767E-3</c:v>
                </c:pt>
                <c:pt idx="136">
                  <c:v>7.5927806579952446E-3</c:v>
                </c:pt>
                <c:pt idx="137">
                  <c:v>8.4649370754900314E-3</c:v>
                </c:pt>
                <c:pt idx="138">
                  <c:v>8.8835689919240617E-3</c:v>
                </c:pt>
                <c:pt idx="139">
                  <c:v>9.7174711136067751E-3</c:v>
                </c:pt>
                <c:pt idx="140">
                  <c:v>1.0739569737353856E-2</c:v>
                </c:pt>
                <c:pt idx="141">
                  <c:v>1.1583042848528966E-2</c:v>
                </c:pt>
                <c:pt idx="142">
                  <c:v>1.2052525590334281E-2</c:v>
                </c:pt>
                <c:pt idx="143">
                  <c:v>1.2818926528892403E-2</c:v>
                </c:pt>
                <c:pt idx="144">
                  <c:v>1.2974722067561534E-2</c:v>
                </c:pt>
                <c:pt idx="145">
                  <c:v>1.3855025690987869E-2</c:v>
                </c:pt>
                <c:pt idx="146">
                  <c:v>1.4018137895178048E-2</c:v>
                </c:pt>
                <c:pt idx="147">
                  <c:v>1.4204010861570191E-2</c:v>
                </c:pt>
                <c:pt idx="148">
                  <c:v>1.4345232393512262E-2</c:v>
                </c:pt>
                <c:pt idx="149">
                  <c:v>1.4247554908806265E-2</c:v>
                </c:pt>
                <c:pt idx="150">
                  <c:v>1.4566788935398273E-2</c:v>
                </c:pt>
                <c:pt idx="151">
                  <c:v>1.3817720584216361E-2</c:v>
                </c:pt>
                <c:pt idx="152">
                  <c:v>1.3877193210039477E-2</c:v>
                </c:pt>
                <c:pt idx="153">
                  <c:v>1.3847877111026087E-2</c:v>
                </c:pt>
                <c:pt idx="154">
                  <c:v>1.3655527906909232E-2</c:v>
                </c:pt>
                <c:pt idx="155">
                  <c:v>1.3766948857931789E-2</c:v>
                </c:pt>
                <c:pt idx="156">
                  <c:v>1.3959703444868054E-2</c:v>
                </c:pt>
                <c:pt idx="157">
                  <c:v>1.4411774500210443E-2</c:v>
                </c:pt>
                <c:pt idx="158">
                  <c:v>1.4150688189739092E-2</c:v>
                </c:pt>
                <c:pt idx="159">
                  <c:v>1.4415561368986876E-2</c:v>
                </c:pt>
                <c:pt idx="160">
                  <c:v>1.4776549825978053E-2</c:v>
                </c:pt>
                <c:pt idx="161">
                  <c:v>1.4328196427711225E-2</c:v>
                </c:pt>
                <c:pt idx="162">
                  <c:v>1.4103119976466438E-2</c:v>
                </c:pt>
                <c:pt idx="163">
                  <c:v>1.3740134267535734E-2</c:v>
                </c:pt>
                <c:pt idx="164">
                  <c:v>1.2620704217587033E-2</c:v>
                </c:pt>
                <c:pt idx="165">
                  <c:v>1.2545194251932646E-2</c:v>
                </c:pt>
                <c:pt idx="166">
                  <c:v>1.1045109734558493E-2</c:v>
                </c:pt>
                <c:pt idx="167">
                  <c:v>9.860986519063553E-3</c:v>
                </c:pt>
                <c:pt idx="168">
                  <c:v>9.6694876301288736E-3</c:v>
                </c:pt>
                <c:pt idx="169">
                  <c:v>8.6280393922943729E-3</c:v>
                </c:pt>
                <c:pt idx="170">
                  <c:v>8.2328109181418578E-3</c:v>
                </c:pt>
                <c:pt idx="171">
                  <c:v>7.2366765696086589E-3</c:v>
                </c:pt>
                <c:pt idx="172">
                  <c:v>6.8723461762038142E-3</c:v>
                </c:pt>
                <c:pt idx="173">
                  <c:v>6.6360475420314743E-3</c:v>
                </c:pt>
                <c:pt idx="174">
                  <c:v>6.0478074089108762E-3</c:v>
                </c:pt>
                <c:pt idx="175">
                  <c:v>5.5344444487509499E-3</c:v>
                </c:pt>
                <c:pt idx="176">
                  <c:v>5.8503068767717702E-3</c:v>
                </c:pt>
                <c:pt idx="177">
                  <c:v>5.2840365149859937E-3</c:v>
                </c:pt>
                <c:pt idx="178">
                  <c:v>5.2376350132423734E-3</c:v>
                </c:pt>
                <c:pt idx="179">
                  <c:v>5.5793925047761999E-3</c:v>
                </c:pt>
                <c:pt idx="180">
                  <c:v>5.034360247773143E-3</c:v>
                </c:pt>
                <c:pt idx="181">
                  <c:v>5.7988034839350942E-3</c:v>
                </c:pt>
                <c:pt idx="182">
                  <c:v>4.6629900356507485E-3</c:v>
                </c:pt>
                <c:pt idx="183">
                  <c:v>5.8335180956167153E-3</c:v>
                </c:pt>
                <c:pt idx="184">
                  <c:v>5.9802469014712508E-3</c:v>
                </c:pt>
                <c:pt idx="185">
                  <c:v>4.4665968907256397E-3</c:v>
                </c:pt>
                <c:pt idx="186">
                  <c:v>4.7261902059352627E-3</c:v>
                </c:pt>
                <c:pt idx="187">
                  <c:v>4.151822075147138E-3</c:v>
                </c:pt>
                <c:pt idx="188">
                  <c:v>4.201081031398303E-3</c:v>
                </c:pt>
                <c:pt idx="189">
                  <c:v>4.7042995336871538E-3</c:v>
                </c:pt>
                <c:pt idx="190">
                  <c:v>3.5124246076942366E-3</c:v>
                </c:pt>
                <c:pt idx="191">
                  <c:v>4.2898104319197715E-3</c:v>
                </c:pt>
                <c:pt idx="192">
                  <c:v>4.6450345429666631E-3</c:v>
                </c:pt>
                <c:pt idx="193">
                  <c:v>4.4815070685712355E-3</c:v>
                </c:pt>
                <c:pt idx="194">
                  <c:v>5.1899086017962925E-3</c:v>
                </c:pt>
                <c:pt idx="195">
                  <c:v>8.3528833317737632E-3</c:v>
                </c:pt>
                <c:pt idx="196">
                  <c:v>8.0774405370638153E-3</c:v>
                </c:pt>
                <c:pt idx="197">
                  <c:v>1.2744800797255514E-2</c:v>
                </c:pt>
                <c:pt idx="198">
                  <c:v>1.8929419964024152E-2</c:v>
                </c:pt>
                <c:pt idx="199">
                  <c:v>2.9884949982879001E-2</c:v>
                </c:pt>
                <c:pt idx="200">
                  <c:v>3.274015016645216E-2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95-49D3-843F-DF3763E828A6}"/>
            </c:ext>
          </c:extLst>
        </c:ser>
        <c:ser>
          <c:idx val="1"/>
          <c:order val="1"/>
          <c:tx>
            <c:v>RD_CF G</c:v>
          </c:tx>
          <c:spPr>
            <a:ln w="1905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CFData!$A$3:$A$203</c:f>
              <c:numCache>
                <c:formatCode>General</c:formatCode>
                <c:ptCount val="201"/>
                <c:pt idx="0">
                  <c:v>380</c:v>
                </c:pt>
                <c:pt idx="1">
                  <c:v>382</c:v>
                </c:pt>
                <c:pt idx="2">
                  <c:v>384</c:v>
                </c:pt>
                <c:pt idx="3">
                  <c:v>386</c:v>
                </c:pt>
                <c:pt idx="4">
                  <c:v>388</c:v>
                </c:pt>
                <c:pt idx="5">
                  <c:v>390</c:v>
                </c:pt>
                <c:pt idx="6">
                  <c:v>392</c:v>
                </c:pt>
                <c:pt idx="7">
                  <c:v>394</c:v>
                </c:pt>
                <c:pt idx="8">
                  <c:v>396</c:v>
                </c:pt>
                <c:pt idx="9">
                  <c:v>398</c:v>
                </c:pt>
                <c:pt idx="10">
                  <c:v>400</c:v>
                </c:pt>
                <c:pt idx="11">
                  <c:v>402</c:v>
                </c:pt>
                <c:pt idx="12">
                  <c:v>404</c:v>
                </c:pt>
                <c:pt idx="13">
                  <c:v>406</c:v>
                </c:pt>
                <c:pt idx="14">
                  <c:v>408</c:v>
                </c:pt>
                <c:pt idx="15">
                  <c:v>410</c:v>
                </c:pt>
                <c:pt idx="16">
                  <c:v>412</c:v>
                </c:pt>
                <c:pt idx="17">
                  <c:v>414</c:v>
                </c:pt>
                <c:pt idx="18">
                  <c:v>416</c:v>
                </c:pt>
                <c:pt idx="19">
                  <c:v>418</c:v>
                </c:pt>
                <c:pt idx="20">
                  <c:v>420</c:v>
                </c:pt>
                <c:pt idx="21">
                  <c:v>422</c:v>
                </c:pt>
                <c:pt idx="22">
                  <c:v>424</c:v>
                </c:pt>
                <c:pt idx="23">
                  <c:v>426</c:v>
                </c:pt>
                <c:pt idx="24">
                  <c:v>428</c:v>
                </c:pt>
                <c:pt idx="25">
                  <c:v>430</c:v>
                </c:pt>
                <c:pt idx="26">
                  <c:v>432</c:v>
                </c:pt>
                <c:pt idx="27">
                  <c:v>434</c:v>
                </c:pt>
                <c:pt idx="28">
                  <c:v>436</c:v>
                </c:pt>
                <c:pt idx="29">
                  <c:v>438</c:v>
                </c:pt>
                <c:pt idx="30">
                  <c:v>440</c:v>
                </c:pt>
                <c:pt idx="31">
                  <c:v>442</c:v>
                </c:pt>
                <c:pt idx="32">
                  <c:v>444</c:v>
                </c:pt>
                <c:pt idx="33">
                  <c:v>446</c:v>
                </c:pt>
                <c:pt idx="34">
                  <c:v>448</c:v>
                </c:pt>
                <c:pt idx="35">
                  <c:v>450</c:v>
                </c:pt>
                <c:pt idx="36">
                  <c:v>452</c:v>
                </c:pt>
                <c:pt idx="37">
                  <c:v>454</c:v>
                </c:pt>
                <c:pt idx="38">
                  <c:v>456</c:v>
                </c:pt>
                <c:pt idx="39">
                  <c:v>458</c:v>
                </c:pt>
                <c:pt idx="40">
                  <c:v>460</c:v>
                </c:pt>
                <c:pt idx="41">
                  <c:v>462</c:v>
                </c:pt>
                <c:pt idx="42">
                  <c:v>464</c:v>
                </c:pt>
                <c:pt idx="43">
                  <c:v>466</c:v>
                </c:pt>
                <c:pt idx="44">
                  <c:v>468</c:v>
                </c:pt>
                <c:pt idx="45">
                  <c:v>470</c:v>
                </c:pt>
                <c:pt idx="46">
                  <c:v>472</c:v>
                </c:pt>
                <c:pt idx="47">
                  <c:v>474</c:v>
                </c:pt>
                <c:pt idx="48">
                  <c:v>476</c:v>
                </c:pt>
                <c:pt idx="49">
                  <c:v>478</c:v>
                </c:pt>
                <c:pt idx="50">
                  <c:v>480</c:v>
                </c:pt>
                <c:pt idx="51">
                  <c:v>482</c:v>
                </c:pt>
                <c:pt idx="52">
                  <c:v>484</c:v>
                </c:pt>
                <c:pt idx="53">
                  <c:v>486</c:v>
                </c:pt>
                <c:pt idx="54">
                  <c:v>488</c:v>
                </c:pt>
                <c:pt idx="55">
                  <c:v>490</c:v>
                </c:pt>
                <c:pt idx="56">
                  <c:v>492</c:v>
                </c:pt>
                <c:pt idx="57">
                  <c:v>494</c:v>
                </c:pt>
                <c:pt idx="58">
                  <c:v>496</c:v>
                </c:pt>
                <c:pt idx="59">
                  <c:v>498</c:v>
                </c:pt>
                <c:pt idx="60">
                  <c:v>500</c:v>
                </c:pt>
                <c:pt idx="61">
                  <c:v>502</c:v>
                </c:pt>
                <c:pt idx="62">
                  <c:v>504</c:v>
                </c:pt>
                <c:pt idx="63">
                  <c:v>506</c:v>
                </c:pt>
                <c:pt idx="64">
                  <c:v>508</c:v>
                </c:pt>
                <c:pt idx="65">
                  <c:v>510</c:v>
                </c:pt>
                <c:pt idx="66">
                  <c:v>512</c:v>
                </c:pt>
                <c:pt idx="67">
                  <c:v>514</c:v>
                </c:pt>
                <c:pt idx="68">
                  <c:v>516</c:v>
                </c:pt>
                <c:pt idx="69">
                  <c:v>518</c:v>
                </c:pt>
                <c:pt idx="70">
                  <c:v>520</c:v>
                </c:pt>
                <c:pt idx="71">
                  <c:v>522</c:v>
                </c:pt>
                <c:pt idx="72">
                  <c:v>524</c:v>
                </c:pt>
                <c:pt idx="73">
                  <c:v>526</c:v>
                </c:pt>
                <c:pt idx="74">
                  <c:v>528</c:v>
                </c:pt>
                <c:pt idx="75">
                  <c:v>530</c:v>
                </c:pt>
                <c:pt idx="76">
                  <c:v>532</c:v>
                </c:pt>
                <c:pt idx="77">
                  <c:v>534</c:v>
                </c:pt>
                <c:pt idx="78">
                  <c:v>536</c:v>
                </c:pt>
                <c:pt idx="79">
                  <c:v>538</c:v>
                </c:pt>
                <c:pt idx="80">
                  <c:v>540</c:v>
                </c:pt>
                <c:pt idx="81">
                  <c:v>542</c:v>
                </c:pt>
                <c:pt idx="82">
                  <c:v>544</c:v>
                </c:pt>
                <c:pt idx="83">
                  <c:v>546</c:v>
                </c:pt>
                <c:pt idx="84">
                  <c:v>548</c:v>
                </c:pt>
                <c:pt idx="85">
                  <c:v>550</c:v>
                </c:pt>
                <c:pt idx="86">
                  <c:v>552</c:v>
                </c:pt>
                <c:pt idx="87">
                  <c:v>554</c:v>
                </c:pt>
                <c:pt idx="88">
                  <c:v>556</c:v>
                </c:pt>
                <c:pt idx="89">
                  <c:v>558</c:v>
                </c:pt>
                <c:pt idx="90">
                  <c:v>560</c:v>
                </c:pt>
                <c:pt idx="91">
                  <c:v>562</c:v>
                </c:pt>
                <c:pt idx="92">
                  <c:v>564</c:v>
                </c:pt>
                <c:pt idx="93">
                  <c:v>566</c:v>
                </c:pt>
                <c:pt idx="94">
                  <c:v>568</c:v>
                </c:pt>
                <c:pt idx="95">
                  <c:v>570</c:v>
                </c:pt>
                <c:pt idx="96">
                  <c:v>572</c:v>
                </c:pt>
                <c:pt idx="97">
                  <c:v>574</c:v>
                </c:pt>
                <c:pt idx="98">
                  <c:v>576</c:v>
                </c:pt>
                <c:pt idx="99">
                  <c:v>578</c:v>
                </c:pt>
                <c:pt idx="100">
                  <c:v>580</c:v>
                </c:pt>
                <c:pt idx="101">
                  <c:v>582</c:v>
                </c:pt>
                <c:pt idx="102">
                  <c:v>584</c:v>
                </c:pt>
                <c:pt idx="103">
                  <c:v>586</c:v>
                </c:pt>
                <c:pt idx="104">
                  <c:v>588</c:v>
                </c:pt>
                <c:pt idx="105">
                  <c:v>590</c:v>
                </c:pt>
                <c:pt idx="106">
                  <c:v>592</c:v>
                </c:pt>
                <c:pt idx="107">
                  <c:v>594</c:v>
                </c:pt>
                <c:pt idx="108">
                  <c:v>596</c:v>
                </c:pt>
                <c:pt idx="109">
                  <c:v>598</c:v>
                </c:pt>
                <c:pt idx="110">
                  <c:v>600</c:v>
                </c:pt>
                <c:pt idx="111">
                  <c:v>602</c:v>
                </c:pt>
                <c:pt idx="112">
                  <c:v>604</c:v>
                </c:pt>
                <c:pt idx="113">
                  <c:v>606</c:v>
                </c:pt>
                <c:pt idx="114">
                  <c:v>608</c:v>
                </c:pt>
                <c:pt idx="115">
                  <c:v>610</c:v>
                </c:pt>
                <c:pt idx="116">
                  <c:v>612</c:v>
                </c:pt>
                <c:pt idx="117">
                  <c:v>614</c:v>
                </c:pt>
                <c:pt idx="118">
                  <c:v>616</c:v>
                </c:pt>
                <c:pt idx="119">
                  <c:v>618</c:v>
                </c:pt>
                <c:pt idx="120">
                  <c:v>620</c:v>
                </c:pt>
                <c:pt idx="121">
                  <c:v>622</c:v>
                </c:pt>
                <c:pt idx="122">
                  <c:v>624</c:v>
                </c:pt>
                <c:pt idx="123">
                  <c:v>626</c:v>
                </c:pt>
                <c:pt idx="124">
                  <c:v>628</c:v>
                </c:pt>
                <c:pt idx="125">
                  <c:v>630</c:v>
                </c:pt>
                <c:pt idx="126">
                  <c:v>632</c:v>
                </c:pt>
                <c:pt idx="127">
                  <c:v>634</c:v>
                </c:pt>
                <c:pt idx="128">
                  <c:v>636</c:v>
                </c:pt>
                <c:pt idx="129">
                  <c:v>638</c:v>
                </c:pt>
                <c:pt idx="130">
                  <c:v>640</c:v>
                </c:pt>
                <c:pt idx="131">
                  <c:v>642</c:v>
                </c:pt>
                <c:pt idx="132">
                  <c:v>644</c:v>
                </c:pt>
                <c:pt idx="133">
                  <c:v>646</c:v>
                </c:pt>
                <c:pt idx="134">
                  <c:v>648</c:v>
                </c:pt>
                <c:pt idx="135">
                  <c:v>650</c:v>
                </c:pt>
                <c:pt idx="136">
                  <c:v>652</c:v>
                </c:pt>
                <c:pt idx="137">
                  <c:v>654</c:v>
                </c:pt>
                <c:pt idx="138">
                  <c:v>656</c:v>
                </c:pt>
                <c:pt idx="139">
                  <c:v>658</c:v>
                </c:pt>
                <c:pt idx="140">
                  <c:v>660</c:v>
                </c:pt>
                <c:pt idx="141">
                  <c:v>662</c:v>
                </c:pt>
                <c:pt idx="142">
                  <c:v>664</c:v>
                </c:pt>
                <c:pt idx="143">
                  <c:v>666</c:v>
                </c:pt>
                <c:pt idx="144">
                  <c:v>668</c:v>
                </c:pt>
                <c:pt idx="145">
                  <c:v>670</c:v>
                </c:pt>
                <c:pt idx="146">
                  <c:v>672</c:v>
                </c:pt>
                <c:pt idx="147">
                  <c:v>674</c:v>
                </c:pt>
                <c:pt idx="148">
                  <c:v>676</c:v>
                </c:pt>
                <c:pt idx="149">
                  <c:v>678</c:v>
                </c:pt>
                <c:pt idx="150">
                  <c:v>680</c:v>
                </c:pt>
                <c:pt idx="151">
                  <c:v>682</c:v>
                </c:pt>
                <c:pt idx="152">
                  <c:v>684</c:v>
                </c:pt>
                <c:pt idx="153">
                  <c:v>686</c:v>
                </c:pt>
                <c:pt idx="154">
                  <c:v>688</c:v>
                </c:pt>
                <c:pt idx="155">
                  <c:v>690</c:v>
                </c:pt>
                <c:pt idx="156">
                  <c:v>692</c:v>
                </c:pt>
                <c:pt idx="157">
                  <c:v>694</c:v>
                </c:pt>
                <c:pt idx="158">
                  <c:v>696</c:v>
                </c:pt>
                <c:pt idx="159">
                  <c:v>698</c:v>
                </c:pt>
                <c:pt idx="160">
                  <c:v>700</c:v>
                </c:pt>
                <c:pt idx="161">
                  <c:v>702</c:v>
                </c:pt>
                <c:pt idx="162">
                  <c:v>704</c:v>
                </c:pt>
                <c:pt idx="163">
                  <c:v>706</c:v>
                </c:pt>
                <c:pt idx="164">
                  <c:v>708</c:v>
                </c:pt>
                <c:pt idx="165">
                  <c:v>710</c:v>
                </c:pt>
                <c:pt idx="166">
                  <c:v>712</c:v>
                </c:pt>
                <c:pt idx="167">
                  <c:v>714</c:v>
                </c:pt>
                <c:pt idx="168">
                  <c:v>716</c:v>
                </c:pt>
                <c:pt idx="169">
                  <c:v>718</c:v>
                </c:pt>
                <c:pt idx="170">
                  <c:v>720</c:v>
                </c:pt>
                <c:pt idx="171">
                  <c:v>722</c:v>
                </c:pt>
                <c:pt idx="172">
                  <c:v>724</c:v>
                </c:pt>
                <c:pt idx="173">
                  <c:v>726</c:v>
                </c:pt>
                <c:pt idx="174">
                  <c:v>728</c:v>
                </c:pt>
                <c:pt idx="175">
                  <c:v>730</c:v>
                </c:pt>
                <c:pt idx="176">
                  <c:v>732</c:v>
                </c:pt>
                <c:pt idx="177">
                  <c:v>734</c:v>
                </c:pt>
                <c:pt idx="178">
                  <c:v>736</c:v>
                </c:pt>
                <c:pt idx="179">
                  <c:v>738</c:v>
                </c:pt>
                <c:pt idx="180">
                  <c:v>740</c:v>
                </c:pt>
                <c:pt idx="181">
                  <c:v>742</c:v>
                </c:pt>
                <c:pt idx="182">
                  <c:v>744</c:v>
                </c:pt>
                <c:pt idx="183">
                  <c:v>746</c:v>
                </c:pt>
                <c:pt idx="184">
                  <c:v>748</c:v>
                </c:pt>
                <c:pt idx="185">
                  <c:v>750</c:v>
                </c:pt>
                <c:pt idx="186">
                  <c:v>752</c:v>
                </c:pt>
                <c:pt idx="187">
                  <c:v>754</c:v>
                </c:pt>
                <c:pt idx="188">
                  <c:v>756</c:v>
                </c:pt>
                <c:pt idx="189">
                  <c:v>758</c:v>
                </c:pt>
                <c:pt idx="190">
                  <c:v>760</c:v>
                </c:pt>
                <c:pt idx="191">
                  <c:v>762</c:v>
                </c:pt>
                <c:pt idx="192">
                  <c:v>764</c:v>
                </c:pt>
                <c:pt idx="193">
                  <c:v>766</c:v>
                </c:pt>
                <c:pt idx="194">
                  <c:v>768</c:v>
                </c:pt>
                <c:pt idx="195">
                  <c:v>770</c:v>
                </c:pt>
                <c:pt idx="196">
                  <c:v>772</c:v>
                </c:pt>
                <c:pt idx="197">
                  <c:v>774</c:v>
                </c:pt>
                <c:pt idx="198">
                  <c:v>776</c:v>
                </c:pt>
                <c:pt idx="199">
                  <c:v>778</c:v>
                </c:pt>
                <c:pt idx="200">
                  <c:v>780</c:v>
                </c:pt>
              </c:numCache>
            </c:numRef>
          </c:xVal>
          <c:yVal>
            <c:numRef>
              <c:f>CFData!$C$3:$C$203</c:f>
              <c:numCache>
                <c:formatCode>General</c:formatCode>
                <c:ptCount val="201"/>
                <c:pt idx="0">
                  <c:v>4.5728961758834633E-2</c:v>
                </c:pt>
                <c:pt idx="1">
                  <c:v>4.4392167418595765E-2</c:v>
                </c:pt>
                <c:pt idx="2">
                  <c:v>4.3487491389075671E-2</c:v>
                </c:pt>
                <c:pt idx="3">
                  <c:v>4.1004294210318613E-2</c:v>
                </c:pt>
                <c:pt idx="4">
                  <c:v>3.9977904461117299E-2</c:v>
                </c:pt>
                <c:pt idx="5">
                  <c:v>3.8851839975270461E-2</c:v>
                </c:pt>
                <c:pt idx="6">
                  <c:v>3.6920952169494155E-2</c:v>
                </c:pt>
                <c:pt idx="7">
                  <c:v>3.482983927619273E-2</c:v>
                </c:pt>
                <c:pt idx="8">
                  <c:v>3.2098389613783682E-2</c:v>
                </c:pt>
                <c:pt idx="9">
                  <c:v>2.9871552575066809E-2</c:v>
                </c:pt>
                <c:pt idx="10">
                  <c:v>2.7131748071623586E-2</c:v>
                </c:pt>
                <c:pt idx="11">
                  <c:v>2.4598491058362388E-2</c:v>
                </c:pt>
                <c:pt idx="12">
                  <c:v>2.1630129743858962E-2</c:v>
                </c:pt>
                <c:pt idx="13">
                  <c:v>2.017229402617594E-2</c:v>
                </c:pt>
                <c:pt idx="14">
                  <c:v>1.8789790301202203E-2</c:v>
                </c:pt>
                <c:pt idx="15">
                  <c:v>1.8027591501625761E-2</c:v>
                </c:pt>
                <c:pt idx="16">
                  <c:v>1.6864182359464058E-2</c:v>
                </c:pt>
                <c:pt idx="17">
                  <c:v>1.5949757367506458E-2</c:v>
                </c:pt>
                <c:pt idx="18">
                  <c:v>1.5438006051238332E-2</c:v>
                </c:pt>
                <c:pt idx="19">
                  <c:v>1.4197069916711035E-2</c:v>
                </c:pt>
                <c:pt idx="20">
                  <c:v>1.3006668211208165E-2</c:v>
                </c:pt>
                <c:pt idx="21">
                  <c:v>1.2029052936351892E-2</c:v>
                </c:pt>
                <c:pt idx="22">
                  <c:v>1.001073097759906E-2</c:v>
                </c:pt>
                <c:pt idx="23">
                  <c:v>8.9286851335085796E-3</c:v>
                </c:pt>
                <c:pt idx="24">
                  <c:v>8.0162573934905081E-3</c:v>
                </c:pt>
                <c:pt idx="25">
                  <c:v>8.041569101239E-3</c:v>
                </c:pt>
                <c:pt idx="26">
                  <c:v>8.5166777655868511E-3</c:v>
                </c:pt>
                <c:pt idx="27">
                  <c:v>9.4469423496589371E-3</c:v>
                </c:pt>
                <c:pt idx="28">
                  <c:v>1.0206135383940242E-2</c:v>
                </c:pt>
                <c:pt idx="29">
                  <c:v>1.16746099287863E-2</c:v>
                </c:pt>
                <c:pt idx="30">
                  <c:v>1.3602284334164848E-2</c:v>
                </c:pt>
                <c:pt idx="31">
                  <c:v>1.5577457741115174E-2</c:v>
                </c:pt>
                <c:pt idx="32">
                  <c:v>1.7281914523786718E-2</c:v>
                </c:pt>
                <c:pt idx="33">
                  <c:v>1.8150936639970458E-2</c:v>
                </c:pt>
                <c:pt idx="34">
                  <c:v>1.7501523250662395E-2</c:v>
                </c:pt>
                <c:pt idx="35">
                  <c:v>1.6745009697943524E-2</c:v>
                </c:pt>
                <c:pt idx="36">
                  <c:v>1.5040048658594181E-2</c:v>
                </c:pt>
                <c:pt idx="37">
                  <c:v>1.4616987193304167E-2</c:v>
                </c:pt>
                <c:pt idx="38">
                  <c:v>1.4794119710614409E-2</c:v>
                </c:pt>
                <c:pt idx="39">
                  <c:v>1.6454004157922593E-2</c:v>
                </c:pt>
                <c:pt idx="40">
                  <c:v>1.9710216936364228E-2</c:v>
                </c:pt>
                <c:pt idx="41">
                  <c:v>2.6505125106675003E-2</c:v>
                </c:pt>
                <c:pt idx="42">
                  <c:v>3.6795313157634749E-2</c:v>
                </c:pt>
                <c:pt idx="43">
                  <c:v>5.1854928952804816E-2</c:v>
                </c:pt>
                <c:pt idx="44">
                  <c:v>7.4262395083960112E-2</c:v>
                </c:pt>
                <c:pt idx="45">
                  <c:v>0.10641253527522646</c:v>
                </c:pt>
                <c:pt idx="46">
                  <c:v>0.1502481714070881</c:v>
                </c:pt>
                <c:pt idx="47">
                  <c:v>0.20522684194286023</c:v>
                </c:pt>
                <c:pt idx="48">
                  <c:v>0.26849957575204841</c:v>
                </c:pt>
                <c:pt idx="49">
                  <c:v>0.3351982096554515</c:v>
                </c:pt>
                <c:pt idx="50">
                  <c:v>0.40399566861311059</c:v>
                </c:pt>
                <c:pt idx="51">
                  <c:v>0.46975865919454501</c:v>
                </c:pt>
                <c:pt idx="52">
                  <c:v>0.52045325398218423</c:v>
                </c:pt>
                <c:pt idx="53">
                  <c:v>0.56503578324034309</c:v>
                </c:pt>
                <c:pt idx="54">
                  <c:v>0.60326390714210176</c:v>
                </c:pt>
                <c:pt idx="55">
                  <c:v>0.63489094529815648</c:v>
                </c:pt>
                <c:pt idx="56">
                  <c:v>0.6620569729364848</c:v>
                </c:pt>
                <c:pt idx="57">
                  <c:v>0.68515228472570533</c:v>
                </c:pt>
                <c:pt idx="58">
                  <c:v>0.70432627906584921</c:v>
                </c:pt>
                <c:pt idx="59">
                  <c:v>0.72252680094580357</c:v>
                </c:pt>
                <c:pt idx="60">
                  <c:v>0.73682729291839322</c:v>
                </c:pt>
                <c:pt idx="61">
                  <c:v>0.75024648264158666</c:v>
                </c:pt>
                <c:pt idx="62">
                  <c:v>0.76221324504715127</c:v>
                </c:pt>
                <c:pt idx="63">
                  <c:v>0.77180299091048665</c:v>
                </c:pt>
                <c:pt idx="64">
                  <c:v>0.78099330616068763</c:v>
                </c:pt>
                <c:pt idx="65">
                  <c:v>0.78810832833493016</c:v>
                </c:pt>
                <c:pt idx="66">
                  <c:v>0.79476175790126702</c:v>
                </c:pt>
                <c:pt idx="67">
                  <c:v>0.80041965624960698</c:v>
                </c:pt>
                <c:pt idx="68">
                  <c:v>0.8047486602789935</c:v>
                </c:pt>
                <c:pt idx="69">
                  <c:v>0.80862203379413555</c:v>
                </c:pt>
                <c:pt idx="70">
                  <c:v>0.8125655385370355</c:v>
                </c:pt>
                <c:pt idx="71">
                  <c:v>0.81407995976387648</c:v>
                </c:pt>
                <c:pt idx="72">
                  <c:v>0.81806026535687004</c:v>
                </c:pt>
                <c:pt idx="73">
                  <c:v>0.81867078177028663</c:v>
                </c:pt>
                <c:pt idx="74">
                  <c:v>0.81980819697507679</c:v>
                </c:pt>
                <c:pt idx="75">
                  <c:v>0.82111803830151797</c:v>
                </c:pt>
                <c:pt idx="76">
                  <c:v>0.82050599923068224</c:v>
                </c:pt>
                <c:pt idx="77">
                  <c:v>0.82046221788618601</c:v>
                </c:pt>
                <c:pt idx="78">
                  <c:v>0.81988281707600563</c:v>
                </c:pt>
                <c:pt idx="79">
                  <c:v>0.81877733812747622</c:v>
                </c:pt>
                <c:pt idx="80">
                  <c:v>0.81576515591893317</c:v>
                </c:pt>
                <c:pt idx="81">
                  <c:v>0.81380418079804806</c:v>
                </c:pt>
                <c:pt idx="82">
                  <c:v>0.81057985483893802</c:v>
                </c:pt>
                <c:pt idx="83">
                  <c:v>0.80769182853437849</c:v>
                </c:pt>
                <c:pt idx="84">
                  <c:v>0.80416202190237884</c:v>
                </c:pt>
                <c:pt idx="85">
                  <c:v>0.79984606922230017</c:v>
                </c:pt>
                <c:pt idx="86">
                  <c:v>0.79429600270392309</c:v>
                </c:pt>
                <c:pt idx="87">
                  <c:v>0.78780550736883137</c:v>
                </c:pt>
                <c:pt idx="88">
                  <c:v>0.78252272655184696</c:v>
                </c:pt>
                <c:pt idx="89">
                  <c:v>0.77591087344296406</c:v>
                </c:pt>
                <c:pt idx="90">
                  <c:v>0.7671340288937889</c:v>
                </c:pt>
                <c:pt idx="91">
                  <c:v>0.75558994234546673</c:v>
                </c:pt>
                <c:pt idx="92">
                  <c:v>0.74700830445491584</c:v>
                </c:pt>
                <c:pt idx="93">
                  <c:v>0.73777408921158849</c:v>
                </c:pt>
                <c:pt idx="94">
                  <c:v>0.7284311819357302</c:v>
                </c:pt>
                <c:pt idx="95">
                  <c:v>0.71688235932959088</c:v>
                </c:pt>
                <c:pt idx="96">
                  <c:v>0.70614498459189334</c:v>
                </c:pt>
                <c:pt idx="97">
                  <c:v>0.69145247754554895</c:v>
                </c:pt>
                <c:pt idx="98">
                  <c:v>0.67899141505972249</c:v>
                </c:pt>
                <c:pt idx="99">
                  <c:v>0.66384745986334359</c:v>
                </c:pt>
                <c:pt idx="100">
                  <c:v>0.64801519430176502</c:v>
                </c:pt>
                <c:pt idx="101">
                  <c:v>0.63100450065893487</c:v>
                </c:pt>
                <c:pt idx="102">
                  <c:v>0.61280260443234891</c:v>
                </c:pt>
                <c:pt idx="103">
                  <c:v>0.59058856523036696</c:v>
                </c:pt>
                <c:pt idx="104">
                  <c:v>0.56830001468870039</c:v>
                </c:pt>
                <c:pt idx="105">
                  <c:v>0.54580600426929404</c:v>
                </c:pt>
                <c:pt idx="106">
                  <c:v>0.51806811000879494</c:v>
                </c:pt>
                <c:pt idx="107">
                  <c:v>0.49019900025082319</c:v>
                </c:pt>
                <c:pt idx="108">
                  <c:v>0.46094117748957059</c:v>
                </c:pt>
                <c:pt idx="109">
                  <c:v>0.4292909336389511</c:v>
                </c:pt>
                <c:pt idx="110">
                  <c:v>0.39696117919652885</c:v>
                </c:pt>
                <c:pt idx="111">
                  <c:v>0.3637711233122331</c:v>
                </c:pt>
                <c:pt idx="112">
                  <c:v>0.33147235593703106</c:v>
                </c:pt>
                <c:pt idx="113">
                  <c:v>0.30056851084341696</c:v>
                </c:pt>
                <c:pt idx="114">
                  <c:v>0.27064159879503613</c:v>
                </c:pt>
                <c:pt idx="115">
                  <c:v>0.24329444413551857</c:v>
                </c:pt>
                <c:pt idx="116">
                  <c:v>0.21845303978185734</c:v>
                </c:pt>
                <c:pt idx="117">
                  <c:v>0.19653552328119464</c:v>
                </c:pt>
                <c:pt idx="118">
                  <c:v>0.17759634446734715</c:v>
                </c:pt>
                <c:pt idx="119">
                  <c:v>0.16176421732917026</c:v>
                </c:pt>
                <c:pt idx="120">
                  <c:v>0.14793421661174158</c:v>
                </c:pt>
                <c:pt idx="121">
                  <c:v>0.13652212666437333</c:v>
                </c:pt>
                <c:pt idx="122">
                  <c:v>0.12685209522802326</c:v>
                </c:pt>
                <c:pt idx="123">
                  <c:v>0.11826851940984803</c:v>
                </c:pt>
                <c:pt idx="124">
                  <c:v>0.1118893758140779</c:v>
                </c:pt>
                <c:pt idx="125">
                  <c:v>0.10630118353590477</c:v>
                </c:pt>
                <c:pt idx="126">
                  <c:v>0.1008403803368846</c:v>
                </c:pt>
                <c:pt idx="127">
                  <c:v>9.6238721755594725E-2</c:v>
                </c:pt>
                <c:pt idx="128">
                  <c:v>9.2028376243665055E-2</c:v>
                </c:pt>
                <c:pt idx="129">
                  <c:v>8.8203213621875207E-2</c:v>
                </c:pt>
                <c:pt idx="130">
                  <c:v>8.3983376219539829E-2</c:v>
                </c:pt>
                <c:pt idx="131">
                  <c:v>8.0386671534951784E-2</c:v>
                </c:pt>
                <c:pt idx="132">
                  <c:v>7.6237598153067965E-2</c:v>
                </c:pt>
                <c:pt idx="133">
                  <c:v>7.3110316885970195E-2</c:v>
                </c:pt>
                <c:pt idx="134">
                  <c:v>6.9809343911834257E-2</c:v>
                </c:pt>
                <c:pt idx="135">
                  <c:v>6.7398769582066517E-2</c:v>
                </c:pt>
                <c:pt idx="136">
                  <c:v>6.5359891748153889E-2</c:v>
                </c:pt>
                <c:pt idx="137">
                  <c:v>6.440030117768257E-2</c:v>
                </c:pt>
                <c:pt idx="138">
                  <c:v>6.4174216213082183E-2</c:v>
                </c:pt>
                <c:pt idx="139">
                  <c:v>6.4805337938587615E-2</c:v>
                </c:pt>
                <c:pt idx="140">
                  <c:v>6.6718448224624957E-2</c:v>
                </c:pt>
                <c:pt idx="141">
                  <c:v>6.9617350653607607E-2</c:v>
                </c:pt>
                <c:pt idx="142">
                  <c:v>7.3292768816861961E-2</c:v>
                </c:pt>
                <c:pt idx="143">
                  <c:v>7.809328250215089E-2</c:v>
                </c:pt>
                <c:pt idx="144">
                  <c:v>8.3579783016967293E-2</c:v>
                </c:pt>
                <c:pt idx="145">
                  <c:v>9.0388039158161071E-2</c:v>
                </c:pt>
                <c:pt idx="146">
                  <c:v>9.7839598284214249E-2</c:v>
                </c:pt>
                <c:pt idx="147">
                  <c:v>0.10622529784958849</c:v>
                </c:pt>
                <c:pt idx="148">
                  <c:v>0.11516881406185595</c:v>
                </c:pt>
                <c:pt idx="149">
                  <c:v>0.12458356308322228</c:v>
                </c:pt>
                <c:pt idx="150">
                  <c:v>0.13454375963179691</c:v>
                </c:pt>
                <c:pt idx="151">
                  <c:v>0.14472917105501809</c:v>
                </c:pt>
                <c:pt idx="152">
                  <c:v>0.15568518555577904</c:v>
                </c:pt>
                <c:pt idx="153">
                  <c:v>0.16654606362999472</c:v>
                </c:pt>
                <c:pt idx="154">
                  <c:v>0.17519796128431919</c:v>
                </c:pt>
                <c:pt idx="155">
                  <c:v>0.18937154865966202</c:v>
                </c:pt>
                <c:pt idx="156">
                  <c:v>0.20139070432278883</c:v>
                </c:pt>
                <c:pt idx="157">
                  <c:v>0.21284855309182113</c:v>
                </c:pt>
                <c:pt idx="158">
                  <c:v>0.22400510355217387</c:v>
                </c:pt>
                <c:pt idx="159">
                  <c:v>0.23462023065135484</c:v>
                </c:pt>
                <c:pt idx="160">
                  <c:v>0.245462995034713</c:v>
                </c:pt>
                <c:pt idx="161">
                  <c:v>0.25475664335432013</c:v>
                </c:pt>
                <c:pt idx="162">
                  <c:v>0.26276434815905969</c:v>
                </c:pt>
                <c:pt idx="163">
                  <c:v>0.26957426538107448</c:v>
                </c:pt>
                <c:pt idx="164">
                  <c:v>0.27476778287870207</c:v>
                </c:pt>
                <c:pt idx="165">
                  <c:v>0.27799991987262512</c:v>
                </c:pt>
                <c:pt idx="166">
                  <c:v>0.27911712526075999</c:v>
                </c:pt>
                <c:pt idx="167">
                  <c:v>0.27819908148558525</c:v>
                </c:pt>
                <c:pt idx="168">
                  <c:v>0.27760092430446787</c:v>
                </c:pt>
                <c:pt idx="169">
                  <c:v>0.27549476280991908</c:v>
                </c:pt>
                <c:pt idx="170">
                  <c:v>0.27207496323276703</c:v>
                </c:pt>
                <c:pt idx="171">
                  <c:v>0.26916841785453061</c:v>
                </c:pt>
                <c:pt idx="172">
                  <c:v>0.2660157161184401</c:v>
                </c:pt>
                <c:pt idx="173">
                  <c:v>0.26387759859285886</c:v>
                </c:pt>
                <c:pt idx="174">
                  <c:v>0.26294877756711932</c:v>
                </c:pt>
                <c:pt idx="175">
                  <c:v>0.26296513130329746</c:v>
                </c:pt>
                <c:pt idx="176">
                  <c:v>0.26603476911095236</c:v>
                </c:pt>
                <c:pt idx="177">
                  <c:v>0.26998623319945281</c:v>
                </c:pt>
                <c:pt idx="178">
                  <c:v>0.27702089070159386</c:v>
                </c:pt>
                <c:pt idx="179">
                  <c:v>0.28485573433970574</c:v>
                </c:pt>
                <c:pt idx="180">
                  <c:v>0.29381733458067316</c:v>
                </c:pt>
                <c:pt idx="181">
                  <c:v>0.30626319026707882</c:v>
                </c:pt>
                <c:pt idx="182">
                  <c:v>0.31760763072053494</c:v>
                </c:pt>
                <c:pt idx="183">
                  <c:v>0.33403351515313068</c:v>
                </c:pt>
                <c:pt idx="184">
                  <c:v>0.34802518451641706</c:v>
                </c:pt>
                <c:pt idx="185">
                  <c:v>0.36186207674177573</c:v>
                </c:pt>
                <c:pt idx="186">
                  <c:v>0.37636003958434694</c:v>
                </c:pt>
                <c:pt idx="187">
                  <c:v>0.38950500266128874</c:v>
                </c:pt>
                <c:pt idx="188">
                  <c:v>0.40416137131239066</c:v>
                </c:pt>
                <c:pt idx="189">
                  <c:v>0.41607006510092132</c:v>
                </c:pt>
                <c:pt idx="190">
                  <c:v>0.42782301278771206</c:v>
                </c:pt>
                <c:pt idx="191">
                  <c:v>0.4402866756560142</c:v>
                </c:pt>
                <c:pt idx="192">
                  <c:v>0.44956476123031036</c:v>
                </c:pt>
                <c:pt idx="193">
                  <c:v>0.46014725995622174</c:v>
                </c:pt>
                <c:pt idx="194">
                  <c:v>0.47002377955843883</c:v>
                </c:pt>
                <c:pt idx="195">
                  <c:v>0.48230606822090571</c:v>
                </c:pt>
                <c:pt idx="196">
                  <c:v>0.49147339529903056</c:v>
                </c:pt>
                <c:pt idx="197">
                  <c:v>0.50540140967228375</c:v>
                </c:pt>
                <c:pt idx="198">
                  <c:v>0.51796932513687499</c:v>
                </c:pt>
                <c:pt idx="199">
                  <c:v>0.52813334025714009</c:v>
                </c:pt>
                <c:pt idx="200">
                  <c:v>0.53907797437680005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95-49D3-843F-DF3763E828A6}"/>
            </c:ext>
          </c:extLst>
        </c:ser>
        <c:ser>
          <c:idx val="2"/>
          <c:order val="2"/>
          <c:tx>
            <c:v>RD_CF 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CFData!$A$3:$A$203</c:f>
              <c:numCache>
                <c:formatCode>General</c:formatCode>
                <c:ptCount val="201"/>
                <c:pt idx="0">
                  <c:v>380</c:v>
                </c:pt>
                <c:pt idx="1">
                  <c:v>382</c:v>
                </c:pt>
                <c:pt idx="2">
                  <c:v>384</c:v>
                </c:pt>
                <c:pt idx="3">
                  <c:v>386</c:v>
                </c:pt>
                <c:pt idx="4">
                  <c:v>388</c:v>
                </c:pt>
                <c:pt idx="5">
                  <c:v>390</c:v>
                </c:pt>
                <c:pt idx="6">
                  <c:v>392</c:v>
                </c:pt>
                <c:pt idx="7">
                  <c:v>394</c:v>
                </c:pt>
                <c:pt idx="8">
                  <c:v>396</c:v>
                </c:pt>
                <c:pt idx="9">
                  <c:v>398</c:v>
                </c:pt>
                <c:pt idx="10">
                  <c:v>400</c:v>
                </c:pt>
                <c:pt idx="11">
                  <c:v>402</c:v>
                </c:pt>
                <c:pt idx="12">
                  <c:v>404</c:v>
                </c:pt>
                <c:pt idx="13">
                  <c:v>406</c:v>
                </c:pt>
                <c:pt idx="14">
                  <c:v>408</c:v>
                </c:pt>
                <c:pt idx="15">
                  <c:v>410</c:v>
                </c:pt>
                <c:pt idx="16">
                  <c:v>412</c:v>
                </c:pt>
                <c:pt idx="17">
                  <c:v>414</c:v>
                </c:pt>
                <c:pt idx="18">
                  <c:v>416</c:v>
                </c:pt>
                <c:pt idx="19">
                  <c:v>418</c:v>
                </c:pt>
                <c:pt idx="20">
                  <c:v>420</c:v>
                </c:pt>
                <c:pt idx="21">
                  <c:v>422</c:v>
                </c:pt>
                <c:pt idx="22">
                  <c:v>424</c:v>
                </c:pt>
                <c:pt idx="23">
                  <c:v>426</c:v>
                </c:pt>
                <c:pt idx="24">
                  <c:v>428</c:v>
                </c:pt>
                <c:pt idx="25">
                  <c:v>430</c:v>
                </c:pt>
                <c:pt idx="26">
                  <c:v>432</c:v>
                </c:pt>
                <c:pt idx="27">
                  <c:v>434</c:v>
                </c:pt>
                <c:pt idx="28">
                  <c:v>436</c:v>
                </c:pt>
                <c:pt idx="29">
                  <c:v>438</c:v>
                </c:pt>
                <c:pt idx="30">
                  <c:v>440</c:v>
                </c:pt>
                <c:pt idx="31">
                  <c:v>442</c:v>
                </c:pt>
                <c:pt idx="32">
                  <c:v>444</c:v>
                </c:pt>
                <c:pt idx="33">
                  <c:v>446</c:v>
                </c:pt>
                <c:pt idx="34">
                  <c:v>448</c:v>
                </c:pt>
                <c:pt idx="35">
                  <c:v>450</c:v>
                </c:pt>
                <c:pt idx="36">
                  <c:v>452</c:v>
                </c:pt>
                <c:pt idx="37">
                  <c:v>454</c:v>
                </c:pt>
                <c:pt idx="38">
                  <c:v>456</c:v>
                </c:pt>
                <c:pt idx="39">
                  <c:v>458</c:v>
                </c:pt>
                <c:pt idx="40">
                  <c:v>460</c:v>
                </c:pt>
                <c:pt idx="41">
                  <c:v>462</c:v>
                </c:pt>
                <c:pt idx="42">
                  <c:v>464</c:v>
                </c:pt>
                <c:pt idx="43">
                  <c:v>466</c:v>
                </c:pt>
                <c:pt idx="44">
                  <c:v>468</c:v>
                </c:pt>
                <c:pt idx="45">
                  <c:v>470</c:v>
                </c:pt>
                <c:pt idx="46">
                  <c:v>472</c:v>
                </c:pt>
                <c:pt idx="47">
                  <c:v>474</c:v>
                </c:pt>
                <c:pt idx="48">
                  <c:v>476</c:v>
                </c:pt>
                <c:pt idx="49">
                  <c:v>478</c:v>
                </c:pt>
                <c:pt idx="50">
                  <c:v>480</c:v>
                </c:pt>
                <c:pt idx="51">
                  <c:v>482</c:v>
                </c:pt>
                <c:pt idx="52">
                  <c:v>484</c:v>
                </c:pt>
                <c:pt idx="53">
                  <c:v>486</c:v>
                </c:pt>
                <c:pt idx="54">
                  <c:v>488</c:v>
                </c:pt>
                <c:pt idx="55">
                  <c:v>490</c:v>
                </c:pt>
                <c:pt idx="56">
                  <c:v>492</c:v>
                </c:pt>
                <c:pt idx="57">
                  <c:v>494</c:v>
                </c:pt>
                <c:pt idx="58">
                  <c:v>496</c:v>
                </c:pt>
                <c:pt idx="59">
                  <c:v>498</c:v>
                </c:pt>
                <c:pt idx="60">
                  <c:v>500</c:v>
                </c:pt>
                <c:pt idx="61">
                  <c:v>502</c:v>
                </c:pt>
                <c:pt idx="62">
                  <c:v>504</c:v>
                </c:pt>
                <c:pt idx="63">
                  <c:v>506</c:v>
                </c:pt>
                <c:pt idx="64">
                  <c:v>508</c:v>
                </c:pt>
                <c:pt idx="65">
                  <c:v>510</c:v>
                </c:pt>
                <c:pt idx="66">
                  <c:v>512</c:v>
                </c:pt>
                <c:pt idx="67">
                  <c:v>514</c:v>
                </c:pt>
                <c:pt idx="68">
                  <c:v>516</c:v>
                </c:pt>
                <c:pt idx="69">
                  <c:v>518</c:v>
                </c:pt>
                <c:pt idx="70">
                  <c:v>520</c:v>
                </c:pt>
                <c:pt idx="71">
                  <c:v>522</c:v>
                </c:pt>
                <c:pt idx="72">
                  <c:v>524</c:v>
                </c:pt>
                <c:pt idx="73">
                  <c:v>526</c:v>
                </c:pt>
                <c:pt idx="74">
                  <c:v>528</c:v>
                </c:pt>
                <c:pt idx="75">
                  <c:v>530</c:v>
                </c:pt>
                <c:pt idx="76">
                  <c:v>532</c:v>
                </c:pt>
                <c:pt idx="77">
                  <c:v>534</c:v>
                </c:pt>
                <c:pt idx="78">
                  <c:v>536</c:v>
                </c:pt>
                <c:pt idx="79">
                  <c:v>538</c:v>
                </c:pt>
                <c:pt idx="80">
                  <c:v>540</c:v>
                </c:pt>
                <c:pt idx="81">
                  <c:v>542</c:v>
                </c:pt>
                <c:pt idx="82">
                  <c:v>544</c:v>
                </c:pt>
                <c:pt idx="83">
                  <c:v>546</c:v>
                </c:pt>
                <c:pt idx="84">
                  <c:v>548</c:v>
                </c:pt>
                <c:pt idx="85">
                  <c:v>550</c:v>
                </c:pt>
                <c:pt idx="86">
                  <c:v>552</c:v>
                </c:pt>
                <c:pt idx="87">
                  <c:v>554</c:v>
                </c:pt>
                <c:pt idx="88">
                  <c:v>556</c:v>
                </c:pt>
                <c:pt idx="89">
                  <c:v>558</c:v>
                </c:pt>
                <c:pt idx="90">
                  <c:v>560</c:v>
                </c:pt>
                <c:pt idx="91">
                  <c:v>562</c:v>
                </c:pt>
                <c:pt idx="92">
                  <c:v>564</c:v>
                </c:pt>
                <c:pt idx="93">
                  <c:v>566</c:v>
                </c:pt>
                <c:pt idx="94">
                  <c:v>568</c:v>
                </c:pt>
                <c:pt idx="95">
                  <c:v>570</c:v>
                </c:pt>
                <c:pt idx="96">
                  <c:v>572</c:v>
                </c:pt>
                <c:pt idx="97">
                  <c:v>574</c:v>
                </c:pt>
                <c:pt idx="98">
                  <c:v>576</c:v>
                </c:pt>
                <c:pt idx="99">
                  <c:v>578</c:v>
                </c:pt>
                <c:pt idx="100">
                  <c:v>580</c:v>
                </c:pt>
                <c:pt idx="101">
                  <c:v>582</c:v>
                </c:pt>
                <c:pt idx="102">
                  <c:v>584</c:v>
                </c:pt>
                <c:pt idx="103">
                  <c:v>586</c:v>
                </c:pt>
                <c:pt idx="104">
                  <c:v>588</c:v>
                </c:pt>
                <c:pt idx="105">
                  <c:v>590</c:v>
                </c:pt>
                <c:pt idx="106">
                  <c:v>592</c:v>
                </c:pt>
                <c:pt idx="107">
                  <c:v>594</c:v>
                </c:pt>
                <c:pt idx="108">
                  <c:v>596</c:v>
                </c:pt>
                <c:pt idx="109">
                  <c:v>598</c:v>
                </c:pt>
                <c:pt idx="110">
                  <c:v>600</c:v>
                </c:pt>
                <c:pt idx="111">
                  <c:v>602</c:v>
                </c:pt>
                <c:pt idx="112">
                  <c:v>604</c:v>
                </c:pt>
                <c:pt idx="113">
                  <c:v>606</c:v>
                </c:pt>
                <c:pt idx="114">
                  <c:v>608</c:v>
                </c:pt>
                <c:pt idx="115">
                  <c:v>610</c:v>
                </c:pt>
                <c:pt idx="116">
                  <c:v>612</c:v>
                </c:pt>
                <c:pt idx="117">
                  <c:v>614</c:v>
                </c:pt>
                <c:pt idx="118">
                  <c:v>616</c:v>
                </c:pt>
                <c:pt idx="119">
                  <c:v>618</c:v>
                </c:pt>
                <c:pt idx="120">
                  <c:v>620</c:v>
                </c:pt>
                <c:pt idx="121">
                  <c:v>622</c:v>
                </c:pt>
                <c:pt idx="122">
                  <c:v>624</c:v>
                </c:pt>
                <c:pt idx="123">
                  <c:v>626</c:v>
                </c:pt>
                <c:pt idx="124">
                  <c:v>628</c:v>
                </c:pt>
                <c:pt idx="125">
                  <c:v>630</c:v>
                </c:pt>
                <c:pt idx="126">
                  <c:v>632</c:v>
                </c:pt>
                <c:pt idx="127">
                  <c:v>634</c:v>
                </c:pt>
                <c:pt idx="128">
                  <c:v>636</c:v>
                </c:pt>
                <c:pt idx="129">
                  <c:v>638</c:v>
                </c:pt>
                <c:pt idx="130">
                  <c:v>640</c:v>
                </c:pt>
                <c:pt idx="131">
                  <c:v>642</c:v>
                </c:pt>
                <c:pt idx="132">
                  <c:v>644</c:v>
                </c:pt>
                <c:pt idx="133">
                  <c:v>646</c:v>
                </c:pt>
                <c:pt idx="134">
                  <c:v>648</c:v>
                </c:pt>
                <c:pt idx="135">
                  <c:v>650</c:v>
                </c:pt>
                <c:pt idx="136">
                  <c:v>652</c:v>
                </c:pt>
                <c:pt idx="137">
                  <c:v>654</c:v>
                </c:pt>
                <c:pt idx="138">
                  <c:v>656</c:v>
                </c:pt>
                <c:pt idx="139">
                  <c:v>658</c:v>
                </c:pt>
                <c:pt idx="140">
                  <c:v>660</c:v>
                </c:pt>
                <c:pt idx="141">
                  <c:v>662</c:v>
                </c:pt>
                <c:pt idx="142">
                  <c:v>664</c:v>
                </c:pt>
                <c:pt idx="143">
                  <c:v>666</c:v>
                </c:pt>
                <c:pt idx="144">
                  <c:v>668</c:v>
                </c:pt>
                <c:pt idx="145">
                  <c:v>670</c:v>
                </c:pt>
                <c:pt idx="146">
                  <c:v>672</c:v>
                </c:pt>
                <c:pt idx="147">
                  <c:v>674</c:v>
                </c:pt>
                <c:pt idx="148">
                  <c:v>676</c:v>
                </c:pt>
                <c:pt idx="149">
                  <c:v>678</c:v>
                </c:pt>
                <c:pt idx="150">
                  <c:v>680</c:v>
                </c:pt>
                <c:pt idx="151">
                  <c:v>682</c:v>
                </c:pt>
                <c:pt idx="152">
                  <c:v>684</c:v>
                </c:pt>
                <c:pt idx="153">
                  <c:v>686</c:v>
                </c:pt>
                <c:pt idx="154">
                  <c:v>688</c:v>
                </c:pt>
                <c:pt idx="155">
                  <c:v>690</c:v>
                </c:pt>
                <c:pt idx="156">
                  <c:v>692</c:v>
                </c:pt>
                <c:pt idx="157">
                  <c:v>694</c:v>
                </c:pt>
                <c:pt idx="158">
                  <c:v>696</c:v>
                </c:pt>
                <c:pt idx="159">
                  <c:v>698</c:v>
                </c:pt>
                <c:pt idx="160">
                  <c:v>700</c:v>
                </c:pt>
                <c:pt idx="161">
                  <c:v>702</c:v>
                </c:pt>
                <c:pt idx="162">
                  <c:v>704</c:v>
                </c:pt>
                <c:pt idx="163">
                  <c:v>706</c:v>
                </c:pt>
                <c:pt idx="164">
                  <c:v>708</c:v>
                </c:pt>
                <c:pt idx="165">
                  <c:v>710</c:v>
                </c:pt>
                <c:pt idx="166">
                  <c:v>712</c:v>
                </c:pt>
                <c:pt idx="167">
                  <c:v>714</c:v>
                </c:pt>
                <c:pt idx="168">
                  <c:v>716</c:v>
                </c:pt>
                <c:pt idx="169">
                  <c:v>718</c:v>
                </c:pt>
                <c:pt idx="170">
                  <c:v>720</c:v>
                </c:pt>
                <c:pt idx="171">
                  <c:v>722</c:v>
                </c:pt>
                <c:pt idx="172">
                  <c:v>724</c:v>
                </c:pt>
                <c:pt idx="173">
                  <c:v>726</c:v>
                </c:pt>
                <c:pt idx="174">
                  <c:v>728</c:v>
                </c:pt>
                <c:pt idx="175">
                  <c:v>730</c:v>
                </c:pt>
                <c:pt idx="176">
                  <c:v>732</c:v>
                </c:pt>
                <c:pt idx="177">
                  <c:v>734</c:v>
                </c:pt>
                <c:pt idx="178">
                  <c:v>736</c:v>
                </c:pt>
                <c:pt idx="179">
                  <c:v>738</c:v>
                </c:pt>
                <c:pt idx="180">
                  <c:v>740</c:v>
                </c:pt>
                <c:pt idx="181">
                  <c:v>742</c:v>
                </c:pt>
                <c:pt idx="182">
                  <c:v>744</c:v>
                </c:pt>
                <c:pt idx="183">
                  <c:v>746</c:v>
                </c:pt>
                <c:pt idx="184">
                  <c:v>748</c:v>
                </c:pt>
                <c:pt idx="185">
                  <c:v>750</c:v>
                </c:pt>
                <c:pt idx="186">
                  <c:v>752</c:v>
                </c:pt>
                <c:pt idx="187">
                  <c:v>754</c:v>
                </c:pt>
                <c:pt idx="188">
                  <c:v>756</c:v>
                </c:pt>
                <c:pt idx="189">
                  <c:v>758</c:v>
                </c:pt>
                <c:pt idx="190">
                  <c:v>760</c:v>
                </c:pt>
                <c:pt idx="191">
                  <c:v>762</c:v>
                </c:pt>
                <c:pt idx="192">
                  <c:v>764</c:v>
                </c:pt>
                <c:pt idx="193">
                  <c:v>766</c:v>
                </c:pt>
                <c:pt idx="194">
                  <c:v>768</c:v>
                </c:pt>
                <c:pt idx="195">
                  <c:v>770</c:v>
                </c:pt>
                <c:pt idx="196">
                  <c:v>772</c:v>
                </c:pt>
                <c:pt idx="197">
                  <c:v>774</c:v>
                </c:pt>
                <c:pt idx="198">
                  <c:v>776</c:v>
                </c:pt>
                <c:pt idx="199">
                  <c:v>778</c:v>
                </c:pt>
                <c:pt idx="200">
                  <c:v>780</c:v>
                </c:pt>
              </c:numCache>
            </c:numRef>
          </c:xVal>
          <c:yVal>
            <c:numRef>
              <c:f>CFData!$B$3:$B$203</c:f>
              <c:numCache>
                <c:formatCode>General</c:formatCode>
                <c:ptCount val="201"/>
                <c:pt idx="0">
                  <c:v>0.20955472869764696</c:v>
                </c:pt>
                <c:pt idx="1">
                  <c:v>0.20640083058786995</c:v>
                </c:pt>
                <c:pt idx="2">
                  <c:v>0.20171372521815725</c:v>
                </c:pt>
                <c:pt idx="3">
                  <c:v>0.19356963381315101</c:v>
                </c:pt>
                <c:pt idx="4">
                  <c:v>0.18716890605409381</c:v>
                </c:pt>
                <c:pt idx="5">
                  <c:v>0.17872936967282482</c:v>
                </c:pt>
                <c:pt idx="6">
                  <c:v>0.17033598760865348</c:v>
                </c:pt>
                <c:pt idx="7">
                  <c:v>0.16067516132851981</c:v>
                </c:pt>
                <c:pt idx="8">
                  <c:v>0.15059561414547951</c:v>
                </c:pt>
                <c:pt idx="9">
                  <c:v>0.14036962489077404</c:v>
                </c:pt>
                <c:pt idx="10">
                  <c:v>0.13054712996478271</c:v>
                </c:pt>
                <c:pt idx="11">
                  <c:v>0.12043387668341642</c:v>
                </c:pt>
                <c:pt idx="12">
                  <c:v>0.11040680185702507</c:v>
                </c:pt>
                <c:pt idx="13">
                  <c:v>0.10187291015269208</c:v>
                </c:pt>
                <c:pt idx="14">
                  <c:v>9.4463708587574274E-2</c:v>
                </c:pt>
                <c:pt idx="15">
                  <c:v>8.8769988240338771E-2</c:v>
                </c:pt>
                <c:pt idx="16">
                  <c:v>8.2386474420027694E-2</c:v>
                </c:pt>
                <c:pt idx="17">
                  <c:v>7.6624966155478272E-2</c:v>
                </c:pt>
                <c:pt idx="18">
                  <c:v>7.0693671701297173E-2</c:v>
                </c:pt>
                <c:pt idx="19">
                  <c:v>6.528278991337938E-2</c:v>
                </c:pt>
                <c:pt idx="20">
                  <c:v>5.8896201116072286E-2</c:v>
                </c:pt>
                <c:pt idx="21">
                  <c:v>5.3005613029391399E-2</c:v>
                </c:pt>
                <c:pt idx="22">
                  <c:v>4.7515632154759575E-2</c:v>
                </c:pt>
                <c:pt idx="23">
                  <c:v>4.271252797438075E-2</c:v>
                </c:pt>
                <c:pt idx="24">
                  <c:v>3.9046245755641883E-2</c:v>
                </c:pt>
                <c:pt idx="25">
                  <c:v>3.661640091087344E-2</c:v>
                </c:pt>
                <c:pt idx="26">
                  <c:v>3.5401883871308631E-2</c:v>
                </c:pt>
                <c:pt idx="27">
                  <c:v>3.4789587728441124E-2</c:v>
                </c:pt>
                <c:pt idx="28">
                  <c:v>3.4184430278149561E-2</c:v>
                </c:pt>
                <c:pt idx="29">
                  <c:v>3.4204808180364268E-2</c:v>
                </c:pt>
                <c:pt idx="30">
                  <c:v>3.3973473013883232E-2</c:v>
                </c:pt>
                <c:pt idx="31">
                  <c:v>3.345863683323326E-2</c:v>
                </c:pt>
                <c:pt idx="32">
                  <c:v>3.2989786884121651E-2</c:v>
                </c:pt>
                <c:pt idx="33">
                  <c:v>3.1250308980807474E-2</c:v>
                </c:pt>
                <c:pt idx="34">
                  <c:v>2.9135861856925412E-2</c:v>
                </c:pt>
                <c:pt idx="35">
                  <c:v>2.6858964983704402E-2</c:v>
                </c:pt>
                <c:pt idx="36">
                  <c:v>2.4498845983874383E-2</c:v>
                </c:pt>
                <c:pt idx="37">
                  <c:v>2.2996418156056325E-2</c:v>
                </c:pt>
                <c:pt idx="38">
                  <c:v>2.198858703007529E-2</c:v>
                </c:pt>
                <c:pt idx="39">
                  <c:v>2.2090436991605452E-2</c:v>
                </c:pt>
                <c:pt idx="40">
                  <c:v>2.24204878183056E-2</c:v>
                </c:pt>
                <c:pt idx="41">
                  <c:v>2.3785698505446484E-2</c:v>
                </c:pt>
                <c:pt idx="42">
                  <c:v>2.5538979199392263E-2</c:v>
                </c:pt>
                <c:pt idx="43">
                  <c:v>2.7740623178990714E-2</c:v>
                </c:pt>
                <c:pt idx="44">
                  <c:v>3.0615973854904274E-2</c:v>
                </c:pt>
                <c:pt idx="45">
                  <c:v>3.3387764051537483E-2</c:v>
                </c:pt>
                <c:pt idx="46">
                  <c:v>3.6642681582434181E-2</c:v>
                </c:pt>
                <c:pt idx="47">
                  <c:v>3.9746391321691159E-2</c:v>
                </c:pt>
                <c:pt idx="48">
                  <c:v>4.2249758767560291E-2</c:v>
                </c:pt>
                <c:pt idx="49">
                  <c:v>4.4182960221622984E-2</c:v>
                </c:pt>
                <c:pt idx="50">
                  <c:v>4.5064915038484477E-2</c:v>
                </c:pt>
                <c:pt idx="51">
                  <c:v>4.6516205306741908E-2</c:v>
                </c:pt>
                <c:pt idx="52">
                  <c:v>4.5737741757459885E-2</c:v>
                </c:pt>
                <c:pt idx="53">
                  <c:v>4.4326742586497422E-2</c:v>
                </c:pt>
                <c:pt idx="54">
                  <c:v>4.3789798211110877E-2</c:v>
                </c:pt>
                <c:pt idx="55">
                  <c:v>4.1492810169864495E-2</c:v>
                </c:pt>
                <c:pt idx="56">
                  <c:v>3.8807722459655705E-2</c:v>
                </c:pt>
                <c:pt idx="57">
                  <c:v>3.7795708969464666E-2</c:v>
                </c:pt>
                <c:pt idx="58">
                  <c:v>3.5635779870722036E-2</c:v>
                </c:pt>
                <c:pt idx="59">
                  <c:v>3.3555523327072109E-2</c:v>
                </c:pt>
                <c:pt idx="60">
                  <c:v>3.1837619699659182E-2</c:v>
                </c:pt>
                <c:pt idx="61">
                  <c:v>2.9951314116632075E-2</c:v>
                </c:pt>
                <c:pt idx="62">
                  <c:v>2.8505718982618056E-2</c:v>
                </c:pt>
                <c:pt idx="63">
                  <c:v>2.6786450895959307E-2</c:v>
                </c:pt>
                <c:pt idx="64">
                  <c:v>2.5914284591078682E-2</c:v>
                </c:pt>
                <c:pt idx="65">
                  <c:v>2.4976436382067889E-2</c:v>
                </c:pt>
                <c:pt idx="66">
                  <c:v>2.3628291322885554E-2</c:v>
                </c:pt>
                <c:pt idx="67">
                  <c:v>2.3279968607154464E-2</c:v>
                </c:pt>
                <c:pt idx="68">
                  <c:v>2.2610602473222781E-2</c:v>
                </c:pt>
                <c:pt idx="69">
                  <c:v>2.1979955342237623E-2</c:v>
                </c:pt>
                <c:pt idx="70">
                  <c:v>2.0893094341243427E-2</c:v>
                </c:pt>
                <c:pt idx="71">
                  <c:v>2.0742193058564725E-2</c:v>
                </c:pt>
                <c:pt idx="72">
                  <c:v>2.0461005692682173E-2</c:v>
                </c:pt>
                <c:pt idx="73">
                  <c:v>1.9831367075052612E-2</c:v>
                </c:pt>
                <c:pt idx="74">
                  <c:v>1.8919848974531753E-2</c:v>
                </c:pt>
                <c:pt idx="75">
                  <c:v>1.816433404778265E-2</c:v>
                </c:pt>
                <c:pt idx="76">
                  <c:v>1.7018494790257303E-2</c:v>
                </c:pt>
                <c:pt idx="77">
                  <c:v>1.6533271330195894E-2</c:v>
                </c:pt>
                <c:pt idx="78">
                  <c:v>1.5464484470515854E-2</c:v>
                </c:pt>
                <c:pt idx="79">
                  <c:v>1.4622178070869775E-2</c:v>
                </c:pt>
                <c:pt idx="80">
                  <c:v>1.3908249488960574E-2</c:v>
                </c:pt>
                <c:pt idx="81">
                  <c:v>1.377757779770899E-2</c:v>
                </c:pt>
                <c:pt idx="82">
                  <c:v>1.3204673000025074E-2</c:v>
                </c:pt>
                <c:pt idx="83">
                  <c:v>1.248762000419067E-2</c:v>
                </c:pt>
                <c:pt idx="84">
                  <c:v>1.2024445414550798E-2</c:v>
                </c:pt>
                <c:pt idx="85">
                  <c:v>1.1946513039365796E-2</c:v>
                </c:pt>
                <c:pt idx="86">
                  <c:v>1.1985439677414939E-2</c:v>
                </c:pt>
                <c:pt idx="87">
                  <c:v>1.1970064792434898E-2</c:v>
                </c:pt>
                <c:pt idx="88">
                  <c:v>1.2146307445019608E-2</c:v>
                </c:pt>
                <c:pt idx="89">
                  <c:v>1.1980733281755454E-2</c:v>
                </c:pt>
                <c:pt idx="90">
                  <c:v>1.2927440588478221E-2</c:v>
                </c:pt>
                <c:pt idx="91">
                  <c:v>1.3439320440762259E-2</c:v>
                </c:pt>
                <c:pt idx="92">
                  <c:v>1.5578406930155744E-2</c:v>
                </c:pt>
                <c:pt idx="93">
                  <c:v>1.7962868673922001E-2</c:v>
                </c:pt>
                <c:pt idx="94">
                  <c:v>2.161847251595448E-2</c:v>
                </c:pt>
                <c:pt idx="95">
                  <c:v>2.6795754926034046E-2</c:v>
                </c:pt>
                <c:pt idx="96">
                  <c:v>3.3920812796903364E-2</c:v>
                </c:pt>
                <c:pt idx="97">
                  <c:v>4.5197890490636605E-2</c:v>
                </c:pt>
                <c:pt idx="98">
                  <c:v>6.0146283082500897E-2</c:v>
                </c:pt>
                <c:pt idx="99">
                  <c:v>7.9990701506861328E-2</c:v>
                </c:pt>
                <c:pt idx="100">
                  <c:v>0.10574793486126929</c:v>
                </c:pt>
                <c:pt idx="101">
                  <c:v>0.13808754702737328</c:v>
                </c:pt>
                <c:pt idx="102">
                  <c:v>0.1778898218538279</c:v>
                </c:pt>
                <c:pt idx="103">
                  <c:v>0.22460097674716234</c:v>
                </c:pt>
                <c:pt idx="104">
                  <c:v>0.27886624273247479</c:v>
                </c:pt>
                <c:pt idx="105">
                  <c:v>0.33892087963563167</c:v>
                </c:pt>
                <c:pt idx="106">
                  <c:v>0.40152495920266851</c:v>
                </c:pt>
                <c:pt idx="107">
                  <c:v>0.46315906644410287</c:v>
                </c:pt>
                <c:pt idx="108">
                  <c:v>0.52537946600364749</c:v>
                </c:pt>
                <c:pt idx="109">
                  <c:v>0.58263650663313071</c:v>
                </c:pt>
                <c:pt idx="110">
                  <c:v>0.6327149689721967</c:v>
                </c:pt>
                <c:pt idx="111">
                  <c:v>0.67871637764783199</c:v>
                </c:pt>
                <c:pt idx="112">
                  <c:v>0.71704460144382731</c:v>
                </c:pt>
                <c:pt idx="113">
                  <c:v>0.74987017862393046</c:v>
                </c:pt>
                <c:pt idx="114">
                  <c:v>0.77627672649378821</c:v>
                </c:pt>
                <c:pt idx="115">
                  <c:v>0.79831687624101511</c:v>
                </c:pt>
                <c:pt idx="116">
                  <c:v>0.81627993277526811</c:v>
                </c:pt>
                <c:pt idx="117">
                  <c:v>0.83169997344643654</c:v>
                </c:pt>
                <c:pt idx="118">
                  <c:v>0.84271862453648916</c:v>
                </c:pt>
                <c:pt idx="119">
                  <c:v>0.85222344764285107</c:v>
                </c:pt>
                <c:pt idx="120">
                  <c:v>0.85854791399493013</c:v>
                </c:pt>
                <c:pt idx="121">
                  <c:v>0.86500868784818918</c:v>
                </c:pt>
                <c:pt idx="122">
                  <c:v>0.87004301843380483</c:v>
                </c:pt>
                <c:pt idx="123">
                  <c:v>0.87363373136257427</c:v>
                </c:pt>
                <c:pt idx="124">
                  <c:v>0.87608353883935208</c:v>
                </c:pt>
                <c:pt idx="125">
                  <c:v>0.87796624541393375</c:v>
                </c:pt>
                <c:pt idx="126">
                  <c:v>0.88023761523847066</c:v>
                </c:pt>
                <c:pt idx="127">
                  <c:v>0.88015179272938593</c:v>
                </c:pt>
                <c:pt idx="128">
                  <c:v>0.88154389710600956</c:v>
                </c:pt>
                <c:pt idx="129">
                  <c:v>0.88210621251345966</c:v>
                </c:pt>
                <c:pt idx="130">
                  <c:v>0.88296754224346041</c:v>
                </c:pt>
                <c:pt idx="131">
                  <c:v>0.88221376749661906</c:v>
                </c:pt>
                <c:pt idx="132">
                  <c:v>0.88295540053364985</c:v>
                </c:pt>
                <c:pt idx="133">
                  <c:v>0.88377537132868511</c:v>
                </c:pt>
                <c:pt idx="134">
                  <c:v>0.88376122247954914</c:v>
                </c:pt>
                <c:pt idx="135">
                  <c:v>0.88432924290862835</c:v>
                </c:pt>
                <c:pt idx="136">
                  <c:v>0.88483251084784642</c:v>
                </c:pt>
                <c:pt idx="137">
                  <c:v>0.88554733918186701</c:v>
                </c:pt>
                <c:pt idx="138">
                  <c:v>0.88594141083187639</c:v>
                </c:pt>
                <c:pt idx="139">
                  <c:v>0.8870551457475816</c:v>
                </c:pt>
                <c:pt idx="140">
                  <c:v>0.8864485051894142</c:v>
                </c:pt>
                <c:pt idx="141">
                  <c:v>0.88695274209244446</c:v>
                </c:pt>
                <c:pt idx="142">
                  <c:v>0.88883757445498146</c:v>
                </c:pt>
                <c:pt idx="143">
                  <c:v>0.89021665714445497</c:v>
                </c:pt>
                <c:pt idx="144">
                  <c:v>0.88953310261184382</c:v>
                </c:pt>
                <c:pt idx="145">
                  <c:v>0.89227591288058228</c:v>
                </c:pt>
                <c:pt idx="146">
                  <c:v>0.89148693904015308</c:v>
                </c:pt>
                <c:pt idx="147">
                  <c:v>0.89155129603458083</c:v>
                </c:pt>
                <c:pt idx="148">
                  <c:v>0.89314986880229974</c:v>
                </c:pt>
                <c:pt idx="149">
                  <c:v>0.89219518237520468</c:v>
                </c:pt>
                <c:pt idx="150">
                  <c:v>0.89350867214702046</c:v>
                </c:pt>
                <c:pt idx="151">
                  <c:v>0.89394768196566921</c:v>
                </c:pt>
                <c:pt idx="152">
                  <c:v>0.89396434221080834</c:v>
                </c:pt>
                <c:pt idx="153">
                  <c:v>0.89481172083938987</c:v>
                </c:pt>
                <c:pt idx="154">
                  <c:v>0.88237964816884418</c:v>
                </c:pt>
                <c:pt idx="155">
                  <c:v>0.89488297922913351</c:v>
                </c:pt>
                <c:pt idx="156">
                  <c:v>0.89539222903678417</c:v>
                </c:pt>
                <c:pt idx="157">
                  <c:v>0.89502185745063156</c:v>
                </c:pt>
                <c:pt idx="158">
                  <c:v>0.89485840907532288</c:v>
                </c:pt>
                <c:pt idx="159">
                  <c:v>0.89406629104619695</c:v>
                </c:pt>
                <c:pt idx="160">
                  <c:v>0.89377495922244332</c:v>
                </c:pt>
                <c:pt idx="161">
                  <c:v>0.89551847117917993</c:v>
                </c:pt>
                <c:pt idx="162">
                  <c:v>0.89408813228151574</c:v>
                </c:pt>
                <c:pt idx="163">
                  <c:v>0.89224546961958318</c:v>
                </c:pt>
                <c:pt idx="164">
                  <c:v>0.8926221790200588</c:v>
                </c:pt>
                <c:pt idx="165">
                  <c:v>0.89301355141373395</c:v>
                </c:pt>
                <c:pt idx="166">
                  <c:v>0.89222382613198103</c:v>
                </c:pt>
                <c:pt idx="167">
                  <c:v>0.89088930589048509</c:v>
                </c:pt>
                <c:pt idx="168">
                  <c:v>0.89206160379251642</c:v>
                </c:pt>
                <c:pt idx="169">
                  <c:v>0.89196544896522956</c:v>
                </c:pt>
                <c:pt idx="170">
                  <c:v>0.89273281886760003</c:v>
                </c:pt>
                <c:pt idx="171">
                  <c:v>0.89149835897079743</c:v>
                </c:pt>
                <c:pt idx="172">
                  <c:v>0.89149498737222632</c:v>
                </c:pt>
                <c:pt idx="173">
                  <c:v>0.89217862100392398</c:v>
                </c:pt>
                <c:pt idx="174">
                  <c:v>0.8914270906936681</c:v>
                </c:pt>
                <c:pt idx="175">
                  <c:v>0.88851792515818429</c:v>
                </c:pt>
                <c:pt idx="176">
                  <c:v>0.8918305059232956</c:v>
                </c:pt>
                <c:pt idx="177">
                  <c:v>0.88917955935638959</c:v>
                </c:pt>
                <c:pt idx="178">
                  <c:v>0.89357065616884679</c:v>
                </c:pt>
                <c:pt idx="179">
                  <c:v>0.8925401137175929</c:v>
                </c:pt>
                <c:pt idx="180">
                  <c:v>0.89214477648219626</c:v>
                </c:pt>
                <c:pt idx="181">
                  <c:v>0.8915641397487859</c:v>
                </c:pt>
                <c:pt idx="182">
                  <c:v>0.89155440067373426</c:v>
                </c:pt>
                <c:pt idx="183">
                  <c:v>0.89175894102459108</c:v>
                </c:pt>
                <c:pt idx="184">
                  <c:v>0.89357453202409576</c:v>
                </c:pt>
                <c:pt idx="185">
                  <c:v>0.89419183118419798</c:v>
                </c:pt>
                <c:pt idx="186">
                  <c:v>0.89464431750974549</c:v>
                </c:pt>
                <c:pt idx="187">
                  <c:v>0.89209879025065775</c:v>
                </c:pt>
                <c:pt idx="188">
                  <c:v>0.89661025609832201</c:v>
                </c:pt>
                <c:pt idx="189">
                  <c:v>0.89767387185520819</c:v>
                </c:pt>
                <c:pt idx="190">
                  <c:v>0.89560028929699975</c:v>
                </c:pt>
                <c:pt idx="191">
                  <c:v>0.89357835844241551</c:v>
                </c:pt>
                <c:pt idx="192">
                  <c:v>0.89594186881558846</c:v>
                </c:pt>
                <c:pt idx="193">
                  <c:v>0.89581847424031447</c:v>
                </c:pt>
                <c:pt idx="194">
                  <c:v>0.89709471822967379</c:v>
                </c:pt>
                <c:pt idx="195">
                  <c:v>0.8991893806944915</c:v>
                </c:pt>
                <c:pt idx="196">
                  <c:v>0.89742960398804927</c:v>
                </c:pt>
                <c:pt idx="197">
                  <c:v>0.89746888657198864</c:v>
                </c:pt>
                <c:pt idx="198">
                  <c:v>0.89845502477343842</c:v>
                </c:pt>
                <c:pt idx="199">
                  <c:v>0.89658251209365702</c:v>
                </c:pt>
                <c:pt idx="200">
                  <c:v>0.89614771430137574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95-49D3-843F-DF3763E82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78760"/>
        <c:axId val="194180720"/>
      </c:scatterChart>
      <c:valAx>
        <c:axId val="194178760"/>
        <c:scaling>
          <c:orientation val="minMax"/>
          <c:max val="780"/>
          <c:min val="3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0720"/>
        <c:crosses val="autoZero"/>
        <c:crossBetween val="midCat"/>
      </c:valAx>
      <c:valAx>
        <c:axId val="19418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78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C4A_CF 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CFData!$F$3:$F$203</c:f>
              <c:numCache>
                <c:formatCode>General</c:formatCode>
                <c:ptCount val="201"/>
                <c:pt idx="0">
                  <c:v>380</c:v>
                </c:pt>
                <c:pt idx="1">
                  <c:v>382</c:v>
                </c:pt>
                <c:pt idx="2">
                  <c:v>384</c:v>
                </c:pt>
                <c:pt idx="3">
                  <c:v>386</c:v>
                </c:pt>
                <c:pt idx="4">
                  <c:v>388</c:v>
                </c:pt>
                <c:pt idx="5">
                  <c:v>390</c:v>
                </c:pt>
                <c:pt idx="6">
                  <c:v>392</c:v>
                </c:pt>
                <c:pt idx="7">
                  <c:v>394</c:v>
                </c:pt>
                <c:pt idx="8">
                  <c:v>396</c:v>
                </c:pt>
                <c:pt idx="9">
                  <c:v>398</c:v>
                </c:pt>
                <c:pt idx="10">
                  <c:v>400</c:v>
                </c:pt>
                <c:pt idx="11">
                  <c:v>402</c:v>
                </c:pt>
                <c:pt idx="12">
                  <c:v>404</c:v>
                </c:pt>
                <c:pt idx="13">
                  <c:v>406</c:v>
                </c:pt>
                <c:pt idx="14">
                  <c:v>408</c:v>
                </c:pt>
                <c:pt idx="15">
                  <c:v>410</c:v>
                </c:pt>
                <c:pt idx="16">
                  <c:v>412</c:v>
                </c:pt>
                <c:pt idx="17">
                  <c:v>414</c:v>
                </c:pt>
                <c:pt idx="18">
                  <c:v>416</c:v>
                </c:pt>
                <c:pt idx="19">
                  <c:v>418</c:v>
                </c:pt>
                <c:pt idx="20">
                  <c:v>420</c:v>
                </c:pt>
                <c:pt idx="21">
                  <c:v>422</c:v>
                </c:pt>
                <c:pt idx="22">
                  <c:v>424</c:v>
                </c:pt>
                <c:pt idx="23">
                  <c:v>426</c:v>
                </c:pt>
                <c:pt idx="24">
                  <c:v>428</c:v>
                </c:pt>
                <c:pt idx="25">
                  <c:v>430</c:v>
                </c:pt>
                <c:pt idx="26">
                  <c:v>432</c:v>
                </c:pt>
                <c:pt idx="27">
                  <c:v>434</c:v>
                </c:pt>
                <c:pt idx="28">
                  <c:v>436</c:v>
                </c:pt>
                <c:pt idx="29">
                  <c:v>438</c:v>
                </c:pt>
                <c:pt idx="30">
                  <c:v>440</c:v>
                </c:pt>
                <c:pt idx="31">
                  <c:v>442</c:v>
                </c:pt>
                <c:pt idx="32">
                  <c:v>444</c:v>
                </c:pt>
                <c:pt idx="33">
                  <c:v>446</c:v>
                </c:pt>
                <c:pt idx="34">
                  <c:v>448</c:v>
                </c:pt>
                <c:pt idx="35">
                  <c:v>450</c:v>
                </c:pt>
                <c:pt idx="36">
                  <c:v>452</c:v>
                </c:pt>
                <c:pt idx="37">
                  <c:v>454</c:v>
                </c:pt>
                <c:pt idx="38">
                  <c:v>456</c:v>
                </c:pt>
                <c:pt idx="39">
                  <c:v>458</c:v>
                </c:pt>
                <c:pt idx="40">
                  <c:v>460</c:v>
                </c:pt>
                <c:pt idx="41">
                  <c:v>462</c:v>
                </c:pt>
                <c:pt idx="42">
                  <c:v>464</c:v>
                </c:pt>
                <c:pt idx="43">
                  <c:v>466</c:v>
                </c:pt>
                <c:pt idx="44">
                  <c:v>468</c:v>
                </c:pt>
                <c:pt idx="45">
                  <c:v>470</c:v>
                </c:pt>
                <c:pt idx="46">
                  <c:v>472</c:v>
                </c:pt>
                <c:pt idx="47">
                  <c:v>474</c:v>
                </c:pt>
                <c:pt idx="48">
                  <c:v>476</c:v>
                </c:pt>
                <c:pt idx="49">
                  <c:v>478</c:v>
                </c:pt>
                <c:pt idx="50">
                  <c:v>480</c:v>
                </c:pt>
                <c:pt idx="51">
                  <c:v>482</c:v>
                </c:pt>
                <c:pt idx="52">
                  <c:v>484</c:v>
                </c:pt>
                <c:pt idx="53">
                  <c:v>486</c:v>
                </c:pt>
                <c:pt idx="54">
                  <c:v>488</c:v>
                </c:pt>
                <c:pt idx="55">
                  <c:v>490</c:v>
                </c:pt>
                <c:pt idx="56">
                  <c:v>492</c:v>
                </c:pt>
                <c:pt idx="57">
                  <c:v>494</c:v>
                </c:pt>
                <c:pt idx="58">
                  <c:v>496</c:v>
                </c:pt>
                <c:pt idx="59">
                  <c:v>498</c:v>
                </c:pt>
                <c:pt idx="60">
                  <c:v>500</c:v>
                </c:pt>
                <c:pt idx="61">
                  <c:v>502</c:v>
                </c:pt>
                <c:pt idx="62">
                  <c:v>504</c:v>
                </c:pt>
                <c:pt idx="63">
                  <c:v>506</c:v>
                </c:pt>
                <c:pt idx="64">
                  <c:v>508</c:v>
                </c:pt>
                <c:pt idx="65">
                  <c:v>510</c:v>
                </c:pt>
                <c:pt idx="66">
                  <c:v>512</c:v>
                </c:pt>
                <c:pt idx="67">
                  <c:v>514</c:v>
                </c:pt>
                <c:pt idx="68">
                  <c:v>516</c:v>
                </c:pt>
                <c:pt idx="69">
                  <c:v>518</c:v>
                </c:pt>
                <c:pt idx="70">
                  <c:v>520</c:v>
                </c:pt>
                <c:pt idx="71">
                  <c:v>522</c:v>
                </c:pt>
                <c:pt idx="72">
                  <c:v>524</c:v>
                </c:pt>
                <c:pt idx="73">
                  <c:v>526</c:v>
                </c:pt>
                <c:pt idx="74">
                  <c:v>528</c:v>
                </c:pt>
                <c:pt idx="75">
                  <c:v>530</c:v>
                </c:pt>
                <c:pt idx="76">
                  <c:v>532</c:v>
                </c:pt>
                <c:pt idx="77">
                  <c:v>534</c:v>
                </c:pt>
                <c:pt idx="78">
                  <c:v>536</c:v>
                </c:pt>
                <c:pt idx="79">
                  <c:v>538</c:v>
                </c:pt>
                <c:pt idx="80">
                  <c:v>540</c:v>
                </c:pt>
                <c:pt idx="81">
                  <c:v>542</c:v>
                </c:pt>
                <c:pt idx="82">
                  <c:v>544</c:v>
                </c:pt>
                <c:pt idx="83">
                  <c:v>546</c:v>
                </c:pt>
                <c:pt idx="84">
                  <c:v>548</c:v>
                </c:pt>
                <c:pt idx="85">
                  <c:v>550</c:v>
                </c:pt>
                <c:pt idx="86">
                  <c:v>552</c:v>
                </c:pt>
                <c:pt idx="87">
                  <c:v>554</c:v>
                </c:pt>
                <c:pt idx="88">
                  <c:v>556</c:v>
                </c:pt>
                <c:pt idx="89">
                  <c:v>558</c:v>
                </c:pt>
                <c:pt idx="90">
                  <c:v>560</c:v>
                </c:pt>
                <c:pt idx="91">
                  <c:v>562</c:v>
                </c:pt>
                <c:pt idx="92">
                  <c:v>564</c:v>
                </c:pt>
                <c:pt idx="93">
                  <c:v>566</c:v>
                </c:pt>
                <c:pt idx="94">
                  <c:v>568</c:v>
                </c:pt>
                <c:pt idx="95">
                  <c:v>570</c:v>
                </c:pt>
                <c:pt idx="96">
                  <c:v>572</c:v>
                </c:pt>
                <c:pt idx="97">
                  <c:v>574</c:v>
                </c:pt>
                <c:pt idx="98">
                  <c:v>576</c:v>
                </c:pt>
                <c:pt idx="99">
                  <c:v>578</c:v>
                </c:pt>
                <c:pt idx="100">
                  <c:v>580</c:v>
                </c:pt>
                <c:pt idx="101">
                  <c:v>582</c:v>
                </c:pt>
                <c:pt idx="102">
                  <c:v>584</c:v>
                </c:pt>
                <c:pt idx="103">
                  <c:v>586</c:v>
                </c:pt>
                <c:pt idx="104">
                  <c:v>588</c:v>
                </c:pt>
                <c:pt idx="105">
                  <c:v>590</c:v>
                </c:pt>
                <c:pt idx="106">
                  <c:v>592</c:v>
                </c:pt>
                <c:pt idx="107">
                  <c:v>594</c:v>
                </c:pt>
                <c:pt idx="108">
                  <c:v>596</c:v>
                </c:pt>
                <c:pt idx="109">
                  <c:v>598</c:v>
                </c:pt>
                <c:pt idx="110">
                  <c:v>600</c:v>
                </c:pt>
                <c:pt idx="111">
                  <c:v>602</c:v>
                </c:pt>
                <c:pt idx="112">
                  <c:v>604</c:v>
                </c:pt>
                <c:pt idx="113">
                  <c:v>606</c:v>
                </c:pt>
                <c:pt idx="114">
                  <c:v>608</c:v>
                </c:pt>
                <c:pt idx="115">
                  <c:v>610</c:v>
                </c:pt>
                <c:pt idx="116">
                  <c:v>612</c:v>
                </c:pt>
                <c:pt idx="117">
                  <c:v>614</c:v>
                </c:pt>
                <c:pt idx="118">
                  <c:v>616</c:v>
                </c:pt>
                <c:pt idx="119">
                  <c:v>618</c:v>
                </c:pt>
                <c:pt idx="120">
                  <c:v>620</c:v>
                </c:pt>
                <c:pt idx="121">
                  <c:v>622</c:v>
                </c:pt>
                <c:pt idx="122">
                  <c:v>624</c:v>
                </c:pt>
                <c:pt idx="123">
                  <c:v>626</c:v>
                </c:pt>
                <c:pt idx="124">
                  <c:v>628</c:v>
                </c:pt>
                <c:pt idx="125">
                  <c:v>630</c:v>
                </c:pt>
                <c:pt idx="126">
                  <c:v>632</c:v>
                </c:pt>
                <c:pt idx="127">
                  <c:v>634</c:v>
                </c:pt>
                <c:pt idx="128">
                  <c:v>636</c:v>
                </c:pt>
                <c:pt idx="129">
                  <c:v>638</c:v>
                </c:pt>
                <c:pt idx="130">
                  <c:v>640</c:v>
                </c:pt>
                <c:pt idx="131">
                  <c:v>642</c:v>
                </c:pt>
                <c:pt idx="132">
                  <c:v>644</c:v>
                </c:pt>
                <c:pt idx="133">
                  <c:v>646</c:v>
                </c:pt>
                <c:pt idx="134">
                  <c:v>648</c:v>
                </c:pt>
                <c:pt idx="135">
                  <c:v>650</c:v>
                </c:pt>
                <c:pt idx="136">
                  <c:v>652</c:v>
                </c:pt>
                <c:pt idx="137">
                  <c:v>654</c:v>
                </c:pt>
                <c:pt idx="138">
                  <c:v>656</c:v>
                </c:pt>
                <c:pt idx="139">
                  <c:v>658</c:v>
                </c:pt>
                <c:pt idx="140">
                  <c:v>660</c:v>
                </c:pt>
                <c:pt idx="141">
                  <c:v>662</c:v>
                </c:pt>
                <c:pt idx="142">
                  <c:v>664</c:v>
                </c:pt>
                <c:pt idx="143">
                  <c:v>666</c:v>
                </c:pt>
                <c:pt idx="144">
                  <c:v>668</c:v>
                </c:pt>
                <c:pt idx="145">
                  <c:v>670</c:v>
                </c:pt>
                <c:pt idx="146">
                  <c:v>672</c:v>
                </c:pt>
                <c:pt idx="147">
                  <c:v>674</c:v>
                </c:pt>
                <c:pt idx="148">
                  <c:v>676</c:v>
                </c:pt>
                <c:pt idx="149">
                  <c:v>678</c:v>
                </c:pt>
                <c:pt idx="150">
                  <c:v>680</c:v>
                </c:pt>
                <c:pt idx="151">
                  <c:v>682</c:v>
                </c:pt>
                <c:pt idx="152">
                  <c:v>684</c:v>
                </c:pt>
                <c:pt idx="153">
                  <c:v>686</c:v>
                </c:pt>
                <c:pt idx="154">
                  <c:v>688</c:v>
                </c:pt>
                <c:pt idx="155">
                  <c:v>690</c:v>
                </c:pt>
                <c:pt idx="156">
                  <c:v>692</c:v>
                </c:pt>
                <c:pt idx="157">
                  <c:v>694</c:v>
                </c:pt>
                <c:pt idx="158">
                  <c:v>696</c:v>
                </c:pt>
                <c:pt idx="159">
                  <c:v>698</c:v>
                </c:pt>
                <c:pt idx="160">
                  <c:v>700</c:v>
                </c:pt>
                <c:pt idx="161">
                  <c:v>702</c:v>
                </c:pt>
                <c:pt idx="162">
                  <c:v>704</c:v>
                </c:pt>
                <c:pt idx="163">
                  <c:v>706</c:v>
                </c:pt>
                <c:pt idx="164">
                  <c:v>708</c:v>
                </c:pt>
                <c:pt idx="165">
                  <c:v>710</c:v>
                </c:pt>
                <c:pt idx="166">
                  <c:v>712</c:v>
                </c:pt>
                <c:pt idx="167">
                  <c:v>714</c:v>
                </c:pt>
                <c:pt idx="168">
                  <c:v>716</c:v>
                </c:pt>
                <c:pt idx="169">
                  <c:v>718</c:v>
                </c:pt>
                <c:pt idx="170">
                  <c:v>720</c:v>
                </c:pt>
                <c:pt idx="171">
                  <c:v>722</c:v>
                </c:pt>
                <c:pt idx="172">
                  <c:v>724</c:v>
                </c:pt>
                <c:pt idx="173">
                  <c:v>726</c:v>
                </c:pt>
                <c:pt idx="174">
                  <c:v>728</c:v>
                </c:pt>
                <c:pt idx="175">
                  <c:v>730</c:v>
                </c:pt>
                <c:pt idx="176">
                  <c:v>732</c:v>
                </c:pt>
                <c:pt idx="177">
                  <c:v>734</c:v>
                </c:pt>
                <c:pt idx="178">
                  <c:v>736</c:v>
                </c:pt>
                <c:pt idx="179">
                  <c:v>738</c:v>
                </c:pt>
                <c:pt idx="180">
                  <c:v>740</c:v>
                </c:pt>
                <c:pt idx="181">
                  <c:v>742</c:v>
                </c:pt>
                <c:pt idx="182">
                  <c:v>744</c:v>
                </c:pt>
                <c:pt idx="183">
                  <c:v>746</c:v>
                </c:pt>
                <c:pt idx="184">
                  <c:v>748</c:v>
                </c:pt>
                <c:pt idx="185">
                  <c:v>750</c:v>
                </c:pt>
                <c:pt idx="186">
                  <c:v>752</c:v>
                </c:pt>
                <c:pt idx="187">
                  <c:v>754</c:v>
                </c:pt>
                <c:pt idx="188">
                  <c:v>756</c:v>
                </c:pt>
                <c:pt idx="189">
                  <c:v>758</c:v>
                </c:pt>
                <c:pt idx="190">
                  <c:v>760</c:v>
                </c:pt>
                <c:pt idx="191">
                  <c:v>762</c:v>
                </c:pt>
                <c:pt idx="192">
                  <c:v>764</c:v>
                </c:pt>
                <c:pt idx="193">
                  <c:v>766</c:v>
                </c:pt>
                <c:pt idx="194">
                  <c:v>768</c:v>
                </c:pt>
                <c:pt idx="195">
                  <c:v>770</c:v>
                </c:pt>
                <c:pt idx="196">
                  <c:v>772</c:v>
                </c:pt>
                <c:pt idx="197">
                  <c:v>774</c:v>
                </c:pt>
                <c:pt idx="198">
                  <c:v>776</c:v>
                </c:pt>
                <c:pt idx="199">
                  <c:v>778</c:v>
                </c:pt>
                <c:pt idx="200">
                  <c:v>780</c:v>
                </c:pt>
              </c:numCache>
            </c:numRef>
          </c:xVal>
          <c:yVal>
            <c:numRef>
              <c:f>CFData!$I$3:$I$203</c:f>
              <c:numCache>
                <c:formatCode>General</c:formatCode>
                <c:ptCount val="201"/>
                <c:pt idx="0">
                  <c:v>0.11880894899504117</c:v>
                </c:pt>
                <c:pt idx="1">
                  <c:v>0.14046323167172176</c:v>
                </c:pt>
                <c:pt idx="2">
                  <c:v>0.15869086365450796</c:v>
                </c:pt>
                <c:pt idx="3">
                  <c:v>0.18912339933203695</c:v>
                </c:pt>
                <c:pt idx="4">
                  <c:v>0.23182429171288627</c:v>
                </c:pt>
                <c:pt idx="5">
                  <c:v>0.27269789026702956</c:v>
                </c:pt>
                <c:pt idx="6">
                  <c:v>0.31456687967498714</c:v>
                </c:pt>
                <c:pt idx="7">
                  <c:v>0.35701575378538525</c:v>
                </c:pt>
                <c:pt idx="8">
                  <c:v>0.39338510789445441</c:v>
                </c:pt>
                <c:pt idx="9">
                  <c:v>0.42353850559031986</c:v>
                </c:pt>
                <c:pt idx="10">
                  <c:v>0.45382849293096034</c:v>
                </c:pt>
                <c:pt idx="11">
                  <c:v>0.48221025900538128</c:v>
                </c:pt>
                <c:pt idx="12">
                  <c:v>0.51047600050150643</c:v>
                </c:pt>
                <c:pt idx="13">
                  <c:v>0.53553553367299089</c:v>
                </c:pt>
                <c:pt idx="14">
                  <c:v>0.55744989803161638</c:v>
                </c:pt>
                <c:pt idx="15">
                  <c:v>0.57937092909610444</c:v>
                </c:pt>
                <c:pt idx="16">
                  <c:v>0.58745853242931767</c:v>
                </c:pt>
                <c:pt idx="17">
                  <c:v>0.59563229140864971</c:v>
                </c:pt>
                <c:pt idx="18">
                  <c:v>0.60367431324434462</c:v>
                </c:pt>
                <c:pt idx="19">
                  <c:v>0.61144700816278696</c:v>
                </c:pt>
                <c:pt idx="20">
                  <c:v>0.61886700031537034</c:v>
                </c:pt>
                <c:pt idx="21">
                  <c:v>0.63364394338301588</c:v>
                </c:pt>
                <c:pt idx="22">
                  <c:v>0.64845908945963793</c:v>
                </c:pt>
                <c:pt idx="23">
                  <c:v>0.65923982572995332</c:v>
                </c:pt>
                <c:pt idx="24">
                  <c:v>0.66623252498575103</c:v>
                </c:pt>
                <c:pt idx="25">
                  <c:v>0.67403903216969818</c:v>
                </c:pt>
                <c:pt idx="26">
                  <c:v>0.69030363394805017</c:v>
                </c:pt>
                <c:pt idx="27">
                  <c:v>0.70653331670974651</c:v>
                </c:pt>
                <c:pt idx="28">
                  <c:v>0.72462548821671857</c:v>
                </c:pt>
                <c:pt idx="29">
                  <c:v>0.74441322570284163</c:v>
                </c:pt>
                <c:pt idx="30">
                  <c:v>0.76371530312355074</c:v>
                </c:pt>
                <c:pt idx="31">
                  <c:v>0.77650966365766816</c:v>
                </c:pt>
                <c:pt idx="32">
                  <c:v>0.78992102941926656</c:v>
                </c:pt>
                <c:pt idx="33">
                  <c:v>0.79992300567846963</c:v>
                </c:pt>
                <c:pt idx="34">
                  <c:v>0.80650427831805238</c:v>
                </c:pt>
                <c:pt idx="35">
                  <c:v>0.81367860431237427</c:v>
                </c:pt>
                <c:pt idx="36">
                  <c:v>0.81325066720098904</c:v>
                </c:pt>
                <c:pt idx="37">
                  <c:v>0.81244505386235566</c:v>
                </c:pt>
                <c:pt idx="38">
                  <c:v>0.80808455039579263</c:v>
                </c:pt>
                <c:pt idx="39">
                  <c:v>0.80017066020236716</c:v>
                </c:pt>
                <c:pt idx="40">
                  <c:v>0.79183375355586039</c:v>
                </c:pt>
                <c:pt idx="41">
                  <c:v>0.78260578474955345</c:v>
                </c:pt>
                <c:pt idx="42">
                  <c:v>0.77390521927685674</c:v>
                </c:pt>
                <c:pt idx="43">
                  <c:v>0.76388709888996387</c:v>
                </c:pt>
                <c:pt idx="44">
                  <c:v>0.7525770797182233</c:v>
                </c:pt>
                <c:pt idx="45">
                  <c:v>0.74184748906197662</c:v>
                </c:pt>
                <c:pt idx="46">
                  <c:v>0.72832146123528352</c:v>
                </c:pt>
                <c:pt idx="47">
                  <c:v>0.71454875779734028</c:v>
                </c:pt>
                <c:pt idx="48">
                  <c:v>0.69750852809133668</c:v>
                </c:pt>
                <c:pt idx="49">
                  <c:v>0.67717064074491629</c:v>
                </c:pt>
                <c:pt idx="50">
                  <c:v>0.65653091818503029</c:v>
                </c:pt>
                <c:pt idx="51">
                  <c:v>0.63261325362873289</c:v>
                </c:pt>
                <c:pt idx="52">
                  <c:v>0.60905648462159589</c:v>
                </c:pt>
                <c:pt idx="53">
                  <c:v>0.58387659003915782</c:v>
                </c:pt>
                <c:pt idx="54">
                  <c:v>0.55700267178805474</c:v>
                </c:pt>
                <c:pt idx="55">
                  <c:v>0.53028979873859949</c:v>
                </c:pt>
                <c:pt idx="56">
                  <c:v>0.49781578986606057</c:v>
                </c:pt>
                <c:pt idx="57">
                  <c:v>0.46520195433590483</c:v>
                </c:pt>
                <c:pt idx="58">
                  <c:v>0.43063793785637122</c:v>
                </c:pt>
                <c:pt idx="59">
                  <c:v>0.3941064239808677</c:v>
                </c:pt>
                <c:pt idx="60">
                  <c:v>0.35740572563809669</c:v>
                </c:pt>
                <c:pt idx="61">
                  <c:v>0.32211193725772785</c:v>
                </c:pt>
                <c:pt idx="62">
                  <c:v>0.28657617817094988</c:v>
                </c:pt>
                <c:pt idx="63">
                  <c:v>0.25402632853361778</c:v>
                </c:pt>
                <c:pt idx="64">
                  <c:v>0.22445612783022142</c:v>
                </c:pt>
                <c:pt idx="65">
                  <c:v>0.19454505309760911</c:v>
                </c:pt>
                <c:pt idx="66">
                  <c:v>0.17271712384303514</c:v>
                </c:pt>
                <c:pt idx="67">
                  <c:v>0.15056450101536564</c:v>
                </c:pt>
                <c:pt idx="68">
                  <c:v>0.13119070056697349</c:v>
                </c:pt>
                <c:pt idx="69">
                  <c:v>0.11465504414767233</c:v>
                </c:pt>
                <c:pt idx="70">
                  <c:v>9.7853219772334091E-2</c:v>
                </c:pt>
                <c:pt idx="71">
                  <c:v>8.49352721101478E-2</c:v>
                </c:pt>
                <c:pt idx="72">
                  <c:v>7.1889129167683891E-2</c:v>
                </c:pt>
                <c:pt idx="73">
                  <c:v>6.0126592725568383E-2</c:v>
                </c:pt>
                <c:pt idx="74">
                  <c:v>4.9661915812664305E-2</c:v>
                </c:pt>
                <c:pt idx="75">
                  <c:v>3.9032709741192911E-2</c:v>
                </c:pt>
                <c:pt idx="76">
                  <c:v>3.1526698259204081E-2</c:v>
                </c:pt>
                <c:pt idx="77">
                  <c:v>2.3839635014413732E-2</c:v>
                </c:pt>
                <c:pt idx="78">
                  <c:v>1.7726507834705515E-2</c:v>
                </c:pt>
                <c:pt idx="79">
                  <c:v>1.3240154606771351E-2</c:v>
                </c:pt>
                <c:pt idx="80">
                  <c:v>8.6258121439189584E-3</c:v>
                </c:pt>
                <c:pt idx="81">
                  <c:v>6.7345481033130846E-3</c:v>
                </c:pt>
                <c:pt idx="82">
                  <c:v>4.7805643015828509E-3</c:v>
                </c:pt>
                <c:pt idx="83">
                  <c:v>3.3806229613224316E-3</c:v>
                </c:pt>
                <c:pt idx="84">
                  <c:v>2.5649754605637097E-3</c:v>
                </c:pt>
                <c:pt idx="85">
                  <c:v>1.7041988025130717E-3</c:v>
                </c:pt>
                <c:pt idx="86">
                  <c:v>1.4262737894823649E-3</c:v>
                </c:pt>
                <c:pt idx="87">
                  <c:v>1.135844146125125E-3</c:v>
                </c:pt>
                <c:pt idx="88">
                  <c:v>9.3536062579801507E-4</c:v>
                </c:pt>
                <c:pt idx="89">
                  <c:v>8.308912876082785E-4</c:v>
                </c:pt>
                <c:pt idx="90">
                  <c:v>7.3542648255506E-4</c:v>
                </c:pt>
                <c:pt idx="91">
                  <c:v>7.7522948756535083E-4</c:v>
                </c:pt>
                <c:pt idx="92">
                  <c:v>8.274621978852421E-4</c:v>
                </c:pt>
                <c:pt idx="93">
                  <c:v>9.1340325503782216E-4</c:v>
                </c:pt>
                <c:pt idx="94">
                  <c:v>1.0241434596694166E-3</c:v>
                </c:pt>
                <c:pt idx="95">
                  <c:v>1.127946016661485E-3</c:v>
                </c:pt>
                <c:pt idx="96">
                  <c:v>1.269951854129142E-3</c:v>
                </c:pt>
                <c:pt idx="97">
                  <c:v>1.4105320755335334E-3</c:v>
                </c:pt>
                <c:pt idx="98">
                  <c:v>1.5314519835538485E-3</c:v>
                </c:pt>
                <c:pt idx="99">
                  <c:v>1.634984082523826E-3</c:v>
                </c:pt>
                <c:pt idx="100">
                  <c:v>1.7416554375074911E-3</c:v>
                </c:pt>
                <c:pt idx="101">
                  <c:v>1.676668567448542E-3</c:v>
                </c:pt>
                <c:pt idx="102">
                  <c:v>1.6046208301173628E-3</c:v>
                </c:pt>
                <c:pt idx="103">
                  <c:v>1.5086952795412844E-3</c:v>
                </c:pt>
                <c:pt idx="104">
                  <c:v>1.3914583390381337E-3</c:v>
                </c:pt>
                <c:pt idx="105">
                  <c:v>1.2761250924192243E-3</c:v>
                </c:pt>
                <c:pt idx="106">
                  <c:v>1.1579491327781185E-3</c:v>
                </c:pt>
                <c:pt idx="107">
                  <c:v>1.049648062505779E-3</c:v>
                </c:pt>
                <c:pt idx="108">
                  <c:v>9.8360077652839221E-4</c:v>
                </c:pt>
                <c:pt idx="109">
                  <c:v>9.5158776671638314E-4</c:v>
                </c:pt>
                <c:pt idx="110">
                  <c:v>8.9353812644003697E-4</c:v>
                </c:pt>
                <c:pt idx="111">
                  <c:v>7.7853215912846135E-4</c:v>
                </c:pt>
                <c:pt idx="112">
                  <c:v>6.629736605046967E-4</c:v>
                </c:pt>
                <c:pt idx="113">
                  <c:v>6.139324066351563E-4</c:v>
                </c:pt>
                <c:pt idx="114">
                  <c:v>6.2867652121192496E-4</c:v>
                </c:pt>
                <c:pt idx="115">
                  <c:v>6.5531847753485877E-4</c:v>
                </c:pt>
                <c:pt idx="116">
                  <c:v>6.8322745821172281E-4</c:v>
                </c:pt>
                <c:pt idx="117">
                  <c:v>6.9689844671375317E-4</c:v>
                </c:pt>
                <c:pt idx="118">
                  <c:v>7.1572583608943289E-4</c:v>
                </c:pt>
                <c:pt idx="119">
                  <c:v>7.4932493316278413E-4</c:v>
                </c:pt>
                <c:pt idx="120">
                  <c:v>7.9186788008345991E-4</c:v>
                </c:pt>
                <c:pt idx="121">
                  <c:v>9.2501065964610476E-4</c:v>
                </c:pt>
                <c:pt idx="122">
                  <c:v>1.0683447971721722E-3</c:v>
                </c:pt>
                <c:pt idx="123">
                  <c:v>1.2223875261571984E-3</c:v>
                </c:pt>
                <c:pt idx="124">
                  <c:v>1.3811467283751456E-3</c:v>
                </c:pt>
                <c:pt idx="125">
                  <c:v>1.5348712215102977E-3</c:v>
                </c:pt>
                <c:pt idx="126">
                  <c:v>1.7278348655228213E-3</c:v>
                </c:pt>
                <c:pt idx="127">
                  <c:v>1.9179944476443685E-3</c:v>
                </c:pt>
                <c:pt idx="128">
                  <c:v>2.1541573627466728E-3</c:v>
                </c:pt>
                <c:pt idx="129">
                  <c:v>2.4354042916508215E-3</c:v>
                </c:pt>
                <c:pt idx="130">
                  <c:v>2.7109370006749255E-3</c:v>
                </c:pt>
                <c:pt idx="131">
                  <c:v>3.0216806815188688E-3</c:v>
                </c:pt>
                <c:pt idx="132">
                  <c:v>3.3297052465843364E-3</c:v>
                </c:pt>
                <c:pt idx="133">
                  <c:v>3.6946102974514494E-3</c:v>
                </c:pt>
                <c:pt idx="134">
                  <c:v>4.1148249541546715E-3</c:v>
                </c:pt>
                <c:pt idx="135">
                  <c:v>4.5264860576755871E-3</c:v>
                </c:pt>
                <c:pt idx="136">
                  <c:v>4.9321256029559385E-3</c:v>
                </c:pt>
                <c:pt idx="137">
                  <c:v>5.3233413897543838E-3</c:v>
                </c:pt>
                <c:pt idx="138">
                  <c:v>5.6891019126713918E-3</c:v>
                </c:pt>
                <c:pt idx="139">
                  <c:v>6.036054360505457E-3</c:v>
                </c:pt>
                <c:pt idx="140">
                  <c:v>6.3857682466851341E-3</c:v>
                </c:pt>
                <c:pt idx="141">
                  <c:v>6.6958074524539916E-3</c:v>
                </c:pt>
                <c:pt idx="142">
                  <c:v>7.0066882366846507E-3</c:v>
                </c:pt>
                <c:pt idx="143">
                  <c:v>7.263330205579047E-3</c:v>
                </c:pt>
                <c:pt idx="144">
                  <c:v>7.4672623227828088E-3</c:v>
                </c:pt>
                <c:pt idx="145">
                  <c:v>7.6752814940853776E-3</c:v>
                </c:pt>
                <c:pt idx="146">
                  <c:v>7.8485757735275857E-3</c:v>
                </c:pt>
                <c:pt idx="147">
                  <c:v>8.0265354901633886E-3</c:v>
                </c:pt>
                <c:pt idx="148">
                  <c:v>8.1718390287718514E-3</c:v>
                </c:pt>
                <c:pt idx="149">
                  <c:v>8.2830440427624271E-3</c:v>
                </c:pt>
                <c:pt idx="150">
                  <c:v>8.3946780876224536E-3</c:v>
                </c:pt>
                <c:pt idx="151">
                  <c:v>8.624660752497619E-3</c:v>
                </c:pt>
                <c:pt idx="152">
                  <c:v>8.84229253986199E-3</c:v>
                </c:pt>
                <c:pt idx="153">
                  <c:v>9.1106095599706276E-3</c:v>
                </c:pt>
                <c:pt idx="154">
                  <c:v>9.4361248650253263E-3</c:v>
                </c:pt>
                <c:pt idx="155">
                  <c:v>9.7710584841654586E-3</c:v>
                </c:pt>
                <c:pt idx="156">
                  <c:v>1.0319570058412074E-2</c:v>
                </c:pt>
                <c:pt idx="157">
                  <c:v>1.0884800424685974E-2</c:v>
                </c:pt>
                <c:pt idx="158">
                  <c:v>1.1408233216671931E-2</c:v>
                </c:pt>
                <c:pt idx="159">
                  <c:v>1.1885887451961875E-2</c:v>
                </c:pt>
                <c:pt idx="160">
                  <c:v>1.2371615023452655E-2</c:v>
                </c:pt>
                <c:pt idx="161">
                  <c:v>1.2598156225493061E-2</c:v>
                </c:pt>
                <c:pt idx="162">
                  <c:v>1.2825489868054178E-2</c:v>
                </c:pt>
                <c:pt idx="163">
                  <c:v>1.28236384451739E-2</c:v>
                </c:pt>
                <c:pt idx="164">
                  <c:v>1.2584765504772399E-2</c:v>
                </c:pt>
                <c:pt idx="165">
                  <c:v>1.2324753178500944E-2</c:v>
                </c:pt>
                <c:pt idx="166">
                  <c:v>1.168208423340902E-2</c:v>
                </c:pt>
                <c:pt idx="167">
                  <c:v>1.1050026378558026E-2</c:v>
                </c:pt>
                <c:pt idx="168">
                  <c:v>1.037723842597744E-2</c:v>
                </c:pt>
                <c:pt idx="169">
                  <c:v>9.6634157625664768E-3</c:v>
                </c:pt>
                <c:pt idx="170">
                  <c:v>8.9607361411532475E-3</c:v>
                </c:pt>
                <c:pt idx="171">
                  <c:v>8.5075561679157398E-3</c:v>
                </c:pt>
                <c:pt idx="172">
                  <c:v>8.0467878777919812E-3</c:v>
                </c:pt>
                <c:pt idx="173">
                  <c:v>7.5924986125022959E-3</c:v>
                </c:pt>
                <c:pt idx="174">
                  <c:v>7.1533772489462072E-3</c:v>
                </c:pt>
                <c:pt idx="175">
                  <c:v>6.7316540139917428E-3</c:v>
                </c:pt>
                <c:pt idx="176">
                  <c:v>6.5571832290368141E-3</c:v>
                </c:pt>
                <c:pt idx="177">
                  <c:v>6.3719346993641552E-3</c:v>
                </c:pt>
                <c:pt idx="178">
                  <c:v>6.2516552570128009E-3</c:v>
                </c:pt>
                <c:pt idx="179">
                  <c:v>6.1950909990361831E-3</c:v>
                </c:pt>
                <c:pt idx="180">
                  <c:v>6.1202610462117229E-3</c:v>
                </c:pt>
                <c:pt idx="181">
                  <c:v>6.0445696433383475E-3</c:v>
                </c:pt>
                <c:pt idx="182">
                  <c:v>5.9830015761546647E-3</c:v>
                </c:pt>
                <c:pt idx="183">
                  <c:v>5.8772916276032192E-3</c:v>
                </c:pt>
                <c:pt idx="184">
                  <c:v>5.7149094416447934E-3</c:v>
                </c:pt>
                <c:pt idx="185">
                  <c:v>5.5302635337353976E-3</c:v>
                </c:pt>
                <c:pt idx="186">
                  <c:v>5.305985119439343E-3</c:v>
                </c:pt>
                <c:pt idx="187">
                  <c:v>5.085312769252932E-3</c:v>
                </c:pt>
                <c:pt idx="188">
                  <c:v>5.0732227690971233E-3</c:v>
                </c:pt>
                <c:pt idx="189">
                  <c:v>5.2592417438217546E-3</c:v>
                </c:pt>
                <c:pt idx="190">
                  <c:v>5.4286228342930298E-3</c:v>
                </c:pt>
                <c:pt idx="191">
                  <c:v>5.855405823890973E-3</c:v>
                </c:pt>
                <c:pt idx="192">
                  <c:v>6.2733833581469526E-3</c:v>
                </c:pt>
                <c:pt idx="193">
                  <c:v>7.2191414887133286E-3</c:v>
                </c:pt>
                <c:pt idx="194">
                  <c:v>8.690053913167177E-3</c:v>
                </c:pt>
                <c:pt idx="195">
                  <c:v>1.0137799836326018E-2</c:v>
                </c:pt>
                <c:pt idx="196">
                  <c:v>1.3995373034476661E-2</c:v>
                </c:pt>
                <c:pt idx="197">
                  <c:v>1.767435295868227E-2</c:v>
                </c:pt>
                <c:pt idx="198">
                  <c:v>2.3343755198632212E-2</c:v>
                </c:pt>
                <c:pt idx="199">
                  <c:v>3.0900682913646789E-2</c:v>
                </c:pt>
                <c:pt idx="200">
                  <c:v>3.8159518145814302E-2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DD-4F98-8C17-698E840A7F22}"/>
            </c:ext>
          </c:extLst>
        </c:ser>
        <c:ser>
          <c:idx val="1"/>
          <c:order val="1"/>
          <c:tx>
            <c:v>C4A_CF G</c:v>
          </c:tx>
          <c:spPr>
            <a:ln w="1905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CFData!$F$3:$F$203</c:f>
              <c:numCache>
                <c:formatCode>General</c:formatCode>
                <c:ptCount val="201"/>
                <c:pt idx="0">
                  <c:v>380</c:v>
                </c:pt>
                <c:pt idx="1">
                  <c:v>382</c:v>
                </c:pt>
                <c:pt idx="2">
                  <c:v>384</c:v>
                </c:pt>
                <c:pt idx="3">
                  <c:v>386</c:v>
                </c:pt>
                <c:pt idx="4">
                  <c:v>388</c:v>
                </c:pt>
                <c:pt idx="5">
                  <c:v>390</c:v>
                </c:pt>
                <c:pt idx="6">
                  <c:v>392</c:v>
                </c:pt>
                <c:pt idx="7">
                  <c:v>394</c:v>
                </c:pt>
                <c:pt idx="8">
                  <c:v>396</c:v>
                </c:pt>
                <c:pt idx="9">
                  <c:v>398</c:v>
                </c:pt>
                <c:pt idx="10">
                  <c:v>400</c:v>
                </c:pt>
                <c:pt idx="11">
                  <c:v>402</c:v>
                </c:pt>
                <c:pt idx="12">
                  <c:v>404</c:v>
                </c:pt>
                <c:pt idx="13">
                  <c:v>406</c:v>
                </c:pt>
                <c:pt idx="14">
                  <c:v>408</c:v>
                </c:pt>
                <c:pt idx="15">
                  <c:v>410</c:v>
                </c:pt>
                <c:pt idx="16">
                  <c:v>412</c:v>
                </c:pt>
                <c:pt idx="17">
                  <c:v>414</c:v>
                </c:pt>
                <c:pt idx="18">
                  <c:v>416</c:v>
                </c:pt>
                <c:pt idx="19">
                  <c:v>418</c:v>
                </c:pt>
                <c:pt idx="20">
                  <c:v>420</c:v>
                </c:pt>
                <c:pt idx="21">
                  <c:v>422</c:v>
                </c:pt>
                <c:pt idx="22">
                  <c:v>424</c:v>
                </c:pt>
                <c:pt idx="23">
                  <c:v>426</c:v>
                </c:pt>
                <c:pt idx="24">
                  <c:v>428</c:v>
                </c:pt>
                <c:pt idx="25">
                  <c:v>430</c:v>
                </c:pt>
                <c:pt idx="26">
                  <c:v>432</c:v>
                </c:pt>
                <c:pt idx="27">
                  <c:v>434</c:v>
                </c:pt>
                <c:pt idx="28">
                  <c:v>436</c:v>
                </c:pt>
                <c:pt idx="29">
                  <c:v>438</c:v>
                </c:pt>
                <c:pt idx="30">
                  <c:v>440</c:v>
                </c:pt>
                <c:pt idx="31">
                  <c:v>442</c:v>
                </c:pt>
                <c:pt idx="32">
                  <c:v>444</c:v>
                </c:pt>
                <c:pt idx="33">
                  <c:v>446</c:v>
                </c:pt>
                <c:pt idx="34">
                  <c:v>448</c:v>
                </c:pt>
                <c:pt idx="35">
                  <c:v>450</c:v>
                </c:pt>
                <c:pt idx="36">
                  <c:v>452</c:v>
                </c:pt>
                <c:pt idx="37">
                  <c:v>454</c:v>
                </c:pt>
                <c:pt idx="38">
                  <c:v>456</c:v>
                </c:pt>
                <c:pt idx="39">
                  <c:v>458</c:v>
                </c:pt>
                <c:pt idx="40">
                  <c:v>460</c:v>
                </c:pt>
                <c:pt idx="41">
                  <c:v>462</c:v>
                </c:pt>
                <c:pt idx="42">
                  <c:v>464</c:v>
                </c:pt>
                <c:pt idx="43">
                  <c:v>466</c:v>
                </c:pt>
                <c:pt idx="44">
                  <c:v>468</c:v>
                </c:pt>
                <c:pt idx="45">
                  <c:v>470</c:v>
                </c:pt>
                <c:pt idx="46">
                  <c:v>472</c:v>
                </c:pt>
                <c:pt idx="47">
                  <c:v>474</c:v>
                </c:pt>
                <c:pt idx="48">
                  <c:v>476</c:v>
                </c:pt>
                <c:pt idx="49">
                  <c:v>478</c:v>
                </c:pt>
                <c:pt idx="50">
                  <c:v>480</c:v>
                </c:pt>
                <c:pt idx="51">
                  <c:v>482</c:v>
                </c:pt>
                <c:pt idx="52">
                  <c:v>484</c:v>
                </c:pt>
                <c:pt idx="53">
                  <c:v>486</c:v>
                </c:pt>
                <c:pt idx="54">
                  <c:v>488</c:v>
                </c:pt>
                <c:pt idx="55">
                  <c:v>490</c:v>
                </c:pt>
                <c:pt idx="56">
                  <c:v>492</c:v>
                </c:pt>
                <c:pt idx="57">
                  <c:v>494</c:v>
                </c:pt>
                <c:pt idx="58">
                  <c:v>496</c:v>
                </c:pt>
                <c:pt idx="59">
                  <c:v>498</c:v>
                </c:pt>
                <c:pt idx="60">
                  <c:v>500</c:v>
                </c:pt>
                <c:pt idx="61">
                  <c:v>502</c:v>
                </c:pt>
                <c:pt idx="62">
                  <c:v>504</c:v>
                </c:pt>
                <c:pt idx="63">
                  <c:v>506</c:v>
                </c:pt>
                <c:pt idx="64">
                  <c:v>508</c:v>
                </c:pt>
                <c:pt idx="65">
                  <c:v>510</c:v>
                </c:pt>
                <c:pt idx="66">
                  <c:v>512</c:v>
                </c:pt>
                <c:pt idx="67">
                  <c:v>514</c:v>
                </c:pt>
                <c:pt idx="68">
                  <c:v>516</c:v>
                </c:pt>
                <c:pt idx="69">
                  <c:v>518</c:v>
                </c:pt>
                <c:pt idx="70">
                  <c:v>520</c:v>
                </c:pt>
                <c:pt idx="71">
                  <c:v>522</c:v>
                </c:pt>
                <c:pt idx="72">
                  <c:v>524</c:v>
                </c:pt>
                <c:pt idx="73">
                  <c:v>526</c:v>
                </c:pt>
                <c:pt idx="74">
                  <c:v>528</c:v>
                </c:pt>
                <c:pt idx="75">
                  <c:v>530</c:v>
                </c:pt>
                <c:pt idx="76">
                  <c:v>532</c:v>
                </c:pt>
                <c:pt idx="77">
                  <c:v>534</c:v>
                </c:pt>
                <c:pt idx="78">
                  <c:v>536</c:v>
                </c:pt>
                <c:pt idx="79">
                  <c:v>538</c:v>
                </c:pt>
                <c:pt idx="80">
                  <c:v>540</c:v>
                </c:pt>
                <c:pt idx="81">
                  <c:v>542</c:v>
                </c:pt>
                <c:pt idx="82">
                  <c:v>544</c:v>
                </c:pt>
                <c:pt idx="83">
                  <c:v>546</c:v>
                </c:pt>
                <c:pt idx="84">
                  <c:v>548</c:v>
                </c:pt>
                <c:pt idx="85">
                  <c:v>550</c:v>
                </c:pt>
                <c:pt idx="86">
                  <c:v>552</c:v>
                </c:pt>
                <c:pt idx="87">
                  <c:v>554</c:v>
                </c:pt>
                <c:pt idx="88">
                  <c:v>556</c:v>
                </c:pt>
                <c:pt idx="89">
                  <c:v>558</c:v>
                </c:pt>
                <c:pt idx="90">
                  <c:v>560</c:v>
                </c:pt>
                <c:pt idx="91">
                  <c:v>562</c:v>
                </c:pt>
                <c:pt idx="92">
                  <c:v>564</c:v>
                </c:pt>
                <c:pt idx="93">
                  <c:v>566</c:v>
                </c:pt>
                <c:pt idx="94">
                  <c:v>568</c:v>
                </c:pt>
                <c:pt idx="95">
                  <c:v>570</c:v>
                </c:pt>
                <c:pt idx="96">
                  <c:v>572</c:v>
                </c:pt>
                <c:pt idx="97">
                  <c:v>574</c:v>
                </c:pt>
                <c:pt idx="98">
                  <c:v>576</c:v>
                </c:pt>
                <c:pt idx="99">
                  <c:v>578</c:v>
                </c:pt>
                <c:pt idx="100">
                  <c:v>580</c:v>
                </c:pt>
                <c:pt idx="101">
                  <c:v>582</c:v>
                </c:pt>
                <c:pt idx="102">
                  <c:v>584</c:v>
                </c:pt>
                <c:pt idx="103">
                  <c:v>586</c:v>
                </c:pt>
                <c:pt idx="104">
                  <c:v>588</c:v>
                </c:pt>
                <c:pt idx="105">
                  <c:v>590</c:v>
                </c:pt>
                <c:pt idx="106">
                  <c:v>592</c:v>
                </c:pt>
                <c:pt idx="107">
                  <c:v>594</c:v>
                </c:pt>
                <c:pt idx="108">
                  <c:v>596</c:v>
                </c:pt>
                <c:pt idx="109">
                  <c:v>598</c:v>
                </c:pt>
                <c:pt idx="110">
                  <c:v>600</c:v>
                </c:pt>
                <c:pt idx="111">
                  <c:v>602</c:v>
                </c:pt>
                <c:pt idx="112">
                  <c:v>604</c:v>
                </c:pt>
                <c:pt idx="113">
                  <c:v>606</c:v>
                </c:pt>
                <c:pt idx="114">
                  <c:v>608</c:v>
                </c:pt>
                <c:pt idx="115">
                  <c:v>610</c:v>
                </c:pt>
                <c:pt idx="116">
                  <c:v>612</c:v>
                </c:pt>
                <c:pt idx="117">
                  <c:v>614</c:v>
                </c:pt>
                <c:pt idx="118">
                  <c:v>616</c:v>
                </c:pt>
                <c:pt idx="119">
                  <c:v>618</c:v>
                </c:pt>
                <c:pt idx="120">
                  <c:v>620</c:v>
                </c:pt>
                <c:pt idx="121">
                  <c:v>622</c:v>
                </c:pt>
                <c:pt idx="122">
                  <c:v>624</c:v>
                </c:pt>
                <c:pt idx="123">
                  <c:v>626</c:v>
                </c:pt>
                <c:pt idx="124">
                  <c:v>628</c:v>
                </c:pt>
                <c:pt idx="125">
                  <c:v>630</c:v>
                </c:pt>
                <c:pt idx="126">
                  <c:v>632</c:v>
                </c:pt>
                <c:pt idx="127">
                  <c:v>634</c:v>
                </c:pt>
                <c:pt idx="128">
                  <c:v>636</c:v>
                </c:pt>
                <c:pt idx="129">
                  <c:v>638</c:v>
                </c:pt>
                <c:pt idx="130">
                  <c:v>640</c:v>
                </c:pt>
                <c:pt idx="131">
                  <c:v>642</c:v>
                </c:pt>
                <c:pt idx="132">
                  <c:v>644</c:v>
                </c:pt>
                <c:pt idx="133">
                  <c:v>646</c:v>
                </c:pt>
                <c:pt idx="134">
                  <c:v>648</c:v>
                </c:pt>
                <c:pt idx="135">
                  <c:v>650</c:v>
                </c:pt>
                <c:pt idx="136">
                  <c:v>652</c:v>
                </c:pt>
                <c:pt idx="137">
                  <c:v>654</c:v>
                </c:pt>
                <c:pt idx="138">
                  <c:v>656</c:v>
                </c:pt>
                <c:pt idx="139">
                  <c:v>658</c:v>
                </c:pt>
                <c:pt idx="140">
                  <c:v>660</c:v>
                </c:pt>
                <c:pt idx="141">
                  <c:v>662</c:v>
                </c:pt>
                <c:pt idx="142">
                  <c:v>664</c:v>
                </c:pt>
                <c:pt idx="143">
                  <c:v>666</c:v>
                </c:pt>
                <c:pt idx="144">
                  <c:v>668</c:v>
                </c:pt>
                <c:pt idx="145">
                  <c:v>670</c:v>
                </c:pt>
                <c:pt idx="146">
                  <c:v>672</c:v>
                </c:pt>
                <c:pt idx="147">
                  <c:v>674</c:v>
                </c:pt>
                <c:pt idx="148">
                  <c:v>676</c:v>
                </c:pt>
                <c:pt idx="149">
                  <c:v>678</c:v>
                </c:pt>
                <c:pt idx="150">
                  <c:v>680</c:v>
                </c:pt>
                <c:pt idx="151">
                  <c:v>682</c:v>
                </c:pt>
                <c:pt idx="152">
                  <c:v>684</c:v>
                </c:pt>
                <c:pt idx="153">
                  <c:v>686</c:v>
                </c:pt>
                <c:pt idx="154">
                  <c:v>688</c:v>
                </c:pt>
                <c:pt idx="155">
                  <c:v>690</c:v>
                </c:pt>
                <c:pt idx="156">
                  <c:v>692</c:v>
                </c:pt>
                <c:pt idx="157">
                  <c:v>694</c:v>
                </c:pt>
                <c:pt idx="158">
                  <c:v>696</c:v>
                </c:pt>
                <c:pt idx="159">
                  <c:v>698</c:v>
                </c:pt>
                <c:pt idx="160">
                  <c:v>700</c:v>
                </c:pt>
                <c:pt idx="161">
                  <c:v>702</c:v>
                </c:pt>
                <c:pt idx="162">
                  <c:v>704</c:v>
                </c:pt>
                <c:pt idx="163">
                  <c:v>706</c:v>
                </c:pt>
                <c:pt idx="164">
                  <c:v>708</c:v>
                </c:pt>
                <c:pt idx="165">
                  <c:v>710</c:v>
                </c:pt>
                <c:pt idx="166">
                  <c:v>712</c:v>
                </c:pt>
                <c:pt idx="167">
                  <c:v>714</c:v>
                </c:pt>
                <c:pt idx="168">
                  <c:v>716</c:v>
                </c:pt>
                <c:pt idx="169">
                  <c:v>718</c:v>
                </c:pt>
                <c:pt idx="170">
                  <c:v>720</c:v>
                </c:pt>
                <c:pt idx="171">
                  <c:v>722</c:v>
                </c:pt>
                <c:pt idx="172">
                  <c:v>724</c:v>
                </c:pt>
                <c:pt idx="173">
                  <c:v>726</c:v>
                </c:pt>
                <c:pt idx="174">
                  <c:v>728</c:v>
                </c:pt>
                <c:pt idx="175">
                  <c:v>730</c:v>
                </c:pt>
                <c:pt idx="176">
                  <c:v>732</c:v>
                </c:pt>
                <c:pt idx="177">
                  <c:v>734</c:v>
                </c:pt>
                <c:pt idx="178">
                  <c:v>736</c:v>
                </c:pt>
                <c:pt idx="179">
                  <c:v>738</c:v>
                </c:pt>
                <c:pt idx="180">
                  <c:v>740</c:v>
                </c:pt>
                <c:pt idx="181">
                  <c:v>742</c:v>
                </c:pt>
                <c:pt idx="182">
                  <c:v>744</c:v>
                </c:pt>
                <c:pt idx="183">
                  <c:v>746</c:v>
                </c:pt>
                <c:pt idx="184">
                  <c:v>748</c:v>
                </c:pt>
                <c:pt idx="185">
                  <c:v>750</c:v>
                </c:pt>
                <c:pt idx="186">
                  <c:v>752</c:v>
                </c:pt>
                <c:pt idx="187">
                  <c:v>754</c:v>
                </c:pt>
                <c:pt idx="188">
                  <c:v>756</c:v>
                </c:pt>
                <c:pt idx="189">
                  <c:v>758</c:v>
                </c:pt>
                <c:pt idx="190">
                  <c:v>760</c:v>
                </c:pt>
                <c:pt idx="191">
                  <c:v>762</c:v>
                </c:pt>
                <c:pt idx="192">
                  <c:v>764</c:v>
                </c:pt>
                <c:pt idx="193">
                  <c:v>766</c:v>
                </c:pt>
                <c:pt idx="194">
                  <c:v>768</c:v>
                </c:pt>
                <c:pt idx="195">
                  <c:v>770</c:v>
                </c:pt>
                <c:pt idx="196">
                  <c:v>772</c:v>
                </c:pt>
                <c:pt idx="197">
                  <c:v>774</c:v>
                </c:pt>
                <c:pt idx="198">
                  <c:v>776</c:v>
                </c:pt>
                <c:pt idx="199">
                  <c:v>778</c:v>
                </c:pt>
                <c:pt idx="200">
                  <c:v>780</c:v>
                </c:pt>
              </c:numCache>
            </c:numRef>
          </c:xVal>
          <c:yVal>
            <c:numRef>
              <c:f>CFData!$H$3:$H$203</c:f>
              <c:numCache>
                <c:formatCode>General</c:formatCode>
                <c:ptCount val="201"/>
                <c:pt idx="0">
                  <c:v>0.1528129730362944</c:v>
                </c:pt>
                <c:pt idx="1">
                  <c:v>8.9191467844660199E-2</c:v>
                </c:pt>
                <c:pt idx="2">
                  <c:v>5.0849028479823331E-2</c:v>
                </c:pt>
                <c:pt idx="3">
                  <c:v>3.1504389535614699E-2</c:v>
                </c:pt>
                <c:pt idx="4">
                  <c:v>2.4873323986593702E-2</c:v>
                </c:pt>
                <c:pt idx="5">
                  <c:v>2.4671933876127681E-2</c:v>
                </c:pt>
                <c:pt idx="6">
                  <c:v>1.9106064058444141E-2</c:v>
                </c:pt>
                <c:pt idx="7">
                  <c:v>1.3699134475000941E-2</c:v>
                </c:pt>
                <c:pt idx="8">
                  <c:v>7.9307228060235442E-3</c:v>
                </c:pt>
                <c:pt idx="9">
                  <c:v>3.9699519132117573E-3</c:v>
                </c:pt>
                <c:pt idx="10">
                  <c:v>2.267777690652588E-3</c:v>
                </c:pt>
                <c:pt idx="11">
                  <c:v>2.6016179963188973E-3</c:v>
                </c:pt>
                <c:pt idx="12">
                  <c:v>3.0246359489399326E-3</c:v>
                </c:pt>
                <c:pt idx="13">
                  <c:v>4.0028587936777908E-3</c:v>
                </c:pt>
                <c:pt idx="14">
                  <c:v>3.2942091157552697E-3</c:v>
                </c:pt>
                <c:pt idx="15">
                  <c:v>2.5186926560571026E-3</c:v>
                </c:pt>
                <c:pt idx="16">
                  <c:v>3.427284541690662E-3</c:v>
                </c:pt>
                <c:pt idx="17">
                  <c:v>4.5179172918827261E-3</c:v>
                </c:pt>
                <c:pt idx="18">
                  <c:v>5.0202408272199562E-3</c:v>
                </c:pt>
                <c:pt idx="19">
                  <c:v>4.7703459744619535E-3</c:v>
                </c:pt>
                <c:pt idx="20">
                  <c:v>4.2109948147068098E-3</c:v>
                </c:pt>
                <c:pt idx="21">
                  <c:v>3.4493979655849708E-3</c:v>
                </c:pt>
                <c:pt idx="22">
                  <c:v>2.6937901687678401E-3</c:v>
                </c:pt>
                <c:pt idx="23">
                  <c:v>2.2530683142790394E-3</c:v>
                </c:pt>
                <c:pt idx="24">
                  <c:v>2.1703733228409486E-3</c:v>
                </c:pt>
                <c:pt idx="25">
                  <c:v>2.2230901458747017E-3</c:v>
                </c:pt>
                <c:pt idx="26">
                  <c:v>2.3148674364122409E-3</c:v>
                </c:pt>
                <c:pt idx="27">
                  <c:v>2.3699206479824465E-3</c:v>
                </c:pt>
                <c:pt idx="28">
                  <c:v>2.1899858237948294E-3</c:v>
                </c:pt>
                <c:pt idx="29">
                  <c:v>1.8086279822603927E-3</c:v>
                </c:pt>
                <c:pt idx="30">
                  <c:v>1.4917051040108456E-3</c:v>
                </c:pt>
                <c:pt idx="31">
                  <c:v>1.6101073517997019E-3</c:v>
                </c:pt>
                <c:pt idx="32">
                  <c:v>1.8391984745190428E-3</c:v>
                </c:pt>
                <c:pt idx="33">
                  <c:v>2.0112356473158356E-3</c:v>
                </c:pt>
                <c:pt idx="34">
                  <c:v>2.0874150763564967E-3</c:v>
                </c:pt>
                <c:pt idx="35">
                  <c:v>2.15786870813881E-3</c:v>
                </c:pt>
                <c:pt idx="36">
                  <c:v>2.3014743359286343E-3</c:v>
                </c:pt>
                <c:pt idx="37">
                  <c:v>2.4301402398374831E-3</c:v>
                </c:pt>
                <c:pt idx="38">
                  <c:v>2.3876903636118013E-3</c:v>
                </c:pt>
                <c:pt idx="39">
                  <c:v>2.2604394555771428E-3</c:v>
                </c:pt>
                <c:pt idx="40">
                  <c:v>2.3771930686381643E-3</c:v>
                </c:pt>
                <c:pt idx="41">
                  <c:v>2.8729023209355803E-3</c:v>
                </c:pt>
                <c:pt idx="42">
                  <c:v>4.1106946420433402E-3</c:v>
                </c:pt>
                <c:pt idx="43">
                  <c:v>5.9200136688004291E-3</c:v>
                </c:pt>
                <c:pt idx="44">
                  <c:v>9.0523209310437985E-3</c:v>
                </c:pt>
                <c:pt idx="45">
                  <c:v>1.5180602248396428E-2</c:v>
                </c:pt>
                <c:pt idx="46">
                  <c:v>2.5096761707192442E-2</c:v>
                </c:pt>
                <c:pt idx="47">
                  <c:v>4.0915757443013852E-2</c:v>
                </c:pt>
                <c:pt idx="48">
                  <c:v>6.5046044061254152E-2</c:v>
                </c:pt>
                <c:pt idx="49">
                  <c:v>9.8466930334375605E-2</c:v>
                </c:pt>
                <c:pt idx="50">
                  <c:v>0.14072956640833298</c:v>
                </c:pt>
                <c:pt idx="51">
                  <c:v>0.1945816768295173</c:v>
                </c:pt>
                <c:pt idx="52">
                  <c:v>0.25496251240044987</c:v>
                </c:pt>
                <c:pt idx="53">
                  <c:v>0.31964098660322277</c:v>
                </c:pt>
                <c:pt idx="54">
                  <c:v>0.38569825911131039</c:v>
                </c:pt>
                <c:pt idx="55">
                  <c:v>0.44954418922996719</c:v>
                </c:pt>
                <c:pt idx="56">
                  <c:v>0.50552866552667408</c:v>
                </c:pt>
                <c:pt idx="57">
                  <c:v>0.55552408951867249</c:v>
                </c:pt>
                <c:pt idx="58">
                  <c:v>0.59801016331322854</c:v>
                </c:pt>
                <c:pt idx="59">
                  <c:v>0.63346403668187135</c:v>
                </c:pt>
                <c:pt idx="60">
                  <c:v>0.66432410949151799</c:v>
                </c:pt>
                <c:pt idx="61">
                  <c:v>0.6928872820216665</c:v>
                </c:pt>
                <c:pt idx="62">
                  <c:v>0.71879157858357079</c:v>
                </c:pt>
                <c:pt idx="63">
                  <c:v>0.74296168252757311</c:v>
                </c:pt>
                <c:pt idx="64">
                  <c:v>0.76545024486294566</c:v>
                </c:pt>
                <c:pt idx="65">
                  <c:v>0.78550040733140136</c:v>
                </c:pt>
                <c:pt idx="66">
                  <c:v>0.80257249708790024</c:v>
                </c:pt>
                <c:pt idx="67">
                  <c:v>0.81672245582979408</c:v>
                </c:pt>
                <c:pt idx="68">
                  <c:v>0.8273875758954865</c:v>
                </c:pt>
                <c:pt idx="69">
                  <c:v>0.83485085645981583</c:v>
                </c:pt>
                <c:pt idx="70">
                  <c:v>0.84025087559829192</c:v>
                </c:pt>
                <c:pt idx="71">
                  <c:v>0.84454851423013233</c:v>
                </c:pt>
                <c:pt idx="72">
                  <c:v>0.84787869056659648</c:v>
                </c:pt>
                <c:pt idx="73">
                  <c:v>0.85076791470040658</c:v>
                </c:pt>
                <c:pt idx="74">
                  <c:v>0.85345311617328679</c:v>
                </c:pt>
                <c:pt idx="75">
                  <c:v>0.85590467879252197</c:v>
                </c:pt>
                <c:pt idx="76">
                  <c:v>0.85864911265083343</c:v>
                </c:pt>
                <c:pt idx="77">
                  <c:v>0.86086045504026421</c:v>
                </c:pt>
                <c:pt idx="78">
                  <c:v>0.86203852137272885</c:v>
                </c:pt>
                <c:pt idx="79">
                  <c:v>0.86188714972107161</c:v>
                </c:pt>
                <c:pt idx="80">
                  <c:v>0.86033723563562203</c:v>
                </c:pt>
                <c:pt idx="81">
                  <c:v>0.8571518495746564</c:v>
                </c:pt>
                <c:pt idx="82">
                  <c:v>0.85224543364810679</c:v>
                </c:pt>
                <c:pt idx="83">
                  <c:v>0.84520007046987544</c:v>
                </c:pt>
                <c:pt idx="84">
                  <c:v>0.83616713169161982</c:v>
                </c:pt>
                <c:pt idx="85">
                  <c:v>0.82589360350738905</c:v>
                </c:pt>
                <c:pt idx="86">
                  <c:v>0.81515608830394726</c:v>
                </c:pt>
                <c:pt idx="87">
                  <c:v>0.80370120309917226</c:v>
                </c:pt>
                <c:pt idx="88">
                  <c:v>0.79170993573743698</c:v>
                </c:pt>
                <c:pt idx="89">
                  <c:v>0.77915925140218534</c:v>
                </c:pt>
                <c:pt idx="90">
                  <c:v>0.76584183674440753</c:v>
                </c:pt>
                <c:pt idx="91">
                  <c:v>0.75176756382834231</c:v>
                </c:pt>
                <c:pt idx="92">
                  <c:v>0.73656458490100529</c:v>
                </c:pt>
                <c:pt idx="93">
                  <c:v>0.71983143601669586</c:v>
                </c:pt>
                <c:pt idx="94">
                  <c:v>0.70147268722110856</c:v>
                </c:pt>
                <c:pt idx="95">
                  <c:v>0.68170881461557031</c:v>
                </c:pt>
                <c:pt idx="96">
                  <c:v>0.66066157365902312</c:v>
                </c:pt>
                <c:pt idx="97">
                  <c:v>0.63826844127795623</c:v>
                </c:pt>
                <c:pt idx="98">
                  <c:v>0.61448992921541556</c:v>
                </c:pt>
                <c:pt idx="99">
                  <c:v>0.58937539779259385</c:v>
                </c:pt>
                <c:pt idx="100">
                  <c:v>0.56303343971611486</c:v>
                </c:pt>
                <c:pt idx="101">
                  <c:v>0.53553645012372753</c:v>
                </c:pt>
                <c:pt idx="102">
                  <c:v>0.5069765682816586</c:v>
                </c:pt>
                <c:pt idx="103">
                  <c:v>0.47742948001573654</c:v>
                </c:pt>
                <c:pt idx="104">
                  <c:v>0.44698074321602865</c:v>
                </c:pt>
                <c:pt idx="105">
                  <c:v>0.41569288095604584</c:v>
                </c:pt>
                <c:pt idx="106">
                  <c:v>0.38354943979539019</c:v>
                </c:pt>
                <c:pt idx="107">
                  <c:v>0.35082354684466127</c:v>
                </c:pt>
                <c:pt idx="108">
                  <c:v>0.31754152760849519</c:v>
                </c:pt>
                <c:pt idx="109">
                  <c:v>0.28402586951868386</c:v>
                </c:pt>
                <c:pt idx="110">
                  <c:v>0.25091167537457276</c:v>
                </c:pt>
                <c:pt idx="111">
                  <c:v>0.21864318806689581</c:v>
                </c:pt>
                <c:pt idx="112">
                  <c:v>0.1877699525049312</c:v>
                </c:pt>
                <c:pt idx="113">
                  <c:v>0.15890403667146777</c:v>
                </c:pt>
                <c:pt idx="114">
                  <c:v>0.13249297414531894</c:v>
                </c:pt>
                <c:pt idx="115">
                  <c:v>0.10885925235827675</c:v>
                </c:pt>
                <c:pt idx="116">
                  <c:v>8.8819620091675558E-2</c:v>
                </c:pt>
                <c:pt idx="117">
                  <c:v>7.1813673165574826E-2</c:v>
                </c:pt>
                <c:pt idx="118">
                  <c:v>5.7843385992822238E-2</c:v>
                </c:pt>
                <c:pt idx="119">
                  <c:v>4.6657020935335289E-2</c:v>
                </c:pt>
                <c:pt idx="120">
                  <c:v>3.7745179478405784E-2</c:v>
                </c:pt>
                <c:pt idx="121">
                  <c:v>3.0663618731299837E-2</c:v>
                </c:pt>
                <c:pt idx="122">
                  <c:v>2.5168498707325768E-2</c:v>
                </c:pt>
                <c:pt idx="123">
                  <c:v>2.091100647005548E-2</c:v>
                </c:pt>
                <c:pt idx="124">
                  <c:v>1.76249253538566E-2</c:v>
                </c:pt>
                <c:pt idx="125">
                  <c:v>1.512630589508451E-2</c:v>
                </c:pt>
                <c:pt idx="126">
                  <c:v>1.3097596694066474E-2</c:v>
                </c:pt>
                <c:pt idx="127">
                  <c:v>1.1512472246166413E-2</c:v>
                </c:pt>
                <c:pt idx="128">
                  <c:v>1.0209984997415485E-2</c:v>
                </c:pt>
                <c:pt idx="129">
                  <c:v>9.1128695917067851E-3</c:v>
                </c:pt>
                <c:pt idx="130">
                  <c:v>8.2268189194178703E-3</c:v>
                </c:pt>
                <c:pt idx="131">
                  <c:v>7.5319243176677035E-3</c:v>
                </c:pt>
                <c:pt idx="132">
                  <c:v>6.9589826161441824E-3</c:v>
                </c:pt>
                <c:pt idx="133">
                  <c:v>6.4209880220250613E-3</c:v>
                </c:pt>
                <c:pt idx="134">
                  <c:v>5.8979002449061216E-3</c:v>
                </c:pt>
                <c:pt idx="135">
                  <c:v>5.4363483348740206E-3</c:v>
                </c:pt>
                <c:pt idx="136">
                  <c:v>5.0757876420020895E-3</c:v>
                </c:pt>
                <c:pt idx="137">
                  <c:v>4.7736037556606681E-3</c:v>
                </c:pt>
                <c:pt idx="138">
                  <c:v>4.487346799624075E-3</c:v>
                </c:pt>
                <c:pt idx="139">
                  <c:v>4.226625583084483E-3</c:v>
                </c:pt>
                <c:pt idx="140">
                  <c:v>4.0532392281750909E-3</c:v>
                </c:pt>
                <c:pt idx="141">
                  <c:v>4.0322117313470211E-3</c:v>
                </c:pt>
                <c:pt idx="142">
                  <c:v>4.1362632884211327E-3</c:v>
                </c:pt>
                <c:pt idx="143">
                  <c:v>4.3601946122318021E-3</c:v>
                </c:pt>
                <c:pt idx="144">
                  <c:v>4.7133512569248366E-3</c:v>
                </c:pt>
                <c:pt idx="145">
                  <c:v>5.2194590835535045E-3</c:v>
                </c:pt>
                <c:pt idx="146">
                  <c:v>5.8511395672962811E-3</c:v>
                </c:pt>
                <c:pt idx="147">
                  <c:v>6.7193547101942509E-3</c:v>
                </c:pt>
                <c:pt idx="148">
                  <c:v>7.9192053977452589E-3</c:v>
                </c:pt>
                <c:pt idx="149">
                  <c:v>9.4894888424067268E-3</c:v>
                </c:pt>
                <c:pt idx="150">
                  <c:v>1.1412435328549303E-2</c:v>
                </c:pt>
                <c:pt idx="151">
                  <c:v>1.3698147268577085E-2</c:v>
                </c:pt>
                <c:pt idx="152">
                  <c:v>1.6358010443245176E-2</c:v>
                </c:pt>
                <c:pt idx="153">
                  <c:v>1.9405845742487517E-2</c:v>
                </c:pt>
                <c:pt idx="154">
                  <c:v>2.2849879886502885E-2</c:v>
                </c:pt>
                <c:pt idx="155">
                  <c:v>2.6693403563370795E-2</c:v>
                </c:pt>
                <c:pt idx="156">
                  <c:v>3.1027239764085716E-2</c:v>
                </c:pt>
                <c:pt idx="157">
                  <c:v>3.5675665745201812E-2</c:v>
                </c:pt>
                <c:pt idx="158">
                  <c:v>4.0540289933141738E-2</c:v>
                </c:pt>
                <c:pt idx="159">
                  <c:v>4.5538186988301824E-2</c:v>
                </c:pt>
                <c:pt idx="160">
                  <c:v>5.0602555942668014E-2</c:v>
                </c:pt>
                <c:pt idx="161">
                  <c:v>5.5682062062199937E-2</c:v>
                </c:pt>
                <c:pt idx="162">
                  <c:v>6.0652646406300095E-2</c:v>
                </c:pt>
                <c:pt idx="163">
                  <c:v>6.5411310438079795E-2</c:v>
                </c:pt>
                <c:pt idx="164">
                  <c:v>6.9859991652769612E-2</c:v>
                </c:pt>
                <c:pt idx="165">
                  <c:v>7.3909841472222806E-2</c:v>
                </c:pt>
                <c:pt idx="166">
                  <c:v>7.7433510267762337E-2</c:v>
                </c:pt>
                <c:pt idx="167">
                  <c:v>8.0411582979719065E-2</c:v>
                </c:pt>
                <c:pt idx="168">
                  <c:v>8.2755869167562113E-2</c:v>
                </c:pt>
                <c:pt idx="169">
                  <c:v>8.4446295634006491E-2</c:v>
                </c:pt>
                <c:pt idx="170">
                  <c:v>8.5523995980046091E-2</c:v>
                </c:pt>
                <c:pt idx="171">
                  <c:v>8.5881035636672945E-2</c:v>
                </c:pt>
                <c:pt idx="172">
                  <c:v>8.5782973131903542E-2</c:v>
                </c:pt>
                <c:pt idx="173">
                  <c:v>8.5379534773355595E-2</c:v>
                </c:pt>
                <c:pt idx="174">
                  <c:v>8.4814852698911633E-2</c:v>
                </c:pt>
                <c:pt idx="175">
                  <c:v>8.4229439289566777E-2</c:v>
                </c:pt>
                <c:pt idx="176">
                  <c:v>8.3748998829958302E-2</c:v>
                </c:pt>
                <c:pt idx="177">
                  <c:v>8.3550241269955874E-2</c:v>
                </c:pt>
                <c:pt idx="178">
                  <c:v>8.3787499880488545E-2</c:v>
                </c:pt>
                <c:pt idx="179">
                  <c:v>8.4626625340763664E-2</c:v>
                </c:pt>
                <c:pt idx="180">
                  <c:v>8.6248605495154243E-2</c:v>
                </c:pt>
                <c:pt idx="181">
                  <c:v>8.8889053610153215E-2</c:v>
                </c:pt>
                <c:pt idx="182">
                  <c:v>9.2586799805098832E-2</c:v>
                </c:pt>
                <c:pt idx="183">
                  <c:v>9.7468535571052187E-2</c:v>
                </c:pt>
                <c:pt idx="184">
                  <c:v>0.10360731418337844</c:v>
                </c:pt>
                <c:pt idx="185">
                  <c:v>0.11102123442651493</c:v>
                </c:pt>
                <c:pt idx="186">
                  <c:v>0.11990609224119243</c:v>
                </c:pt>
                <c:pt idx="187">
                  <c:v>0.13000192326912974</c:v>
                </c:pt>
                <c:pt idx="188">
                  <c:v>0.14125936718913409</c:v>
                </c:pt>
                <c:pt idx="189">
                  <c:v>0.15351388959723009</c:v>
                </c:pt>
                <c:pt idx="190">
                  <c:v>0.16646932856626168</c:v>
                </c:pt>
                <c:pt idx="191">
                  <c:v>0.17978345253595993</c:v>
                </c:pt>
                <c:pt idx="192">
                  <c:v>0.19346613357056336</c:v>
                </c:pt>
                <c:pt idx="193">
                  <c:v>0.20742523240384561</c:v>
                </c:pt>
                <c:pt idx="194">
                  <c:v>0.22154557495302379</c:v>
                </c:pt>
                <c:pt idx="195">
                  <c:v>0.23569224300683814</c:v>
                </c:pt>
                <c:pt idx="196">
                  <c:v>0.24958881876660965</c:v>
                </c:pt>
                <c:pt idx="197">
                  <c:v>0.26343603420518863</c:v>
                </c:pt>
                <c:pt idx="198">
                  <c:v>0.27730299377224454</c:v>
                </c:pt>
                <c:pt idx="199">
                  <c:v>0.29123905778897019</c:v>
                </c:pt>
                <c:pt idx="200">
                  <c:v>0.3053067493288763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DD-4F98-8C17-698E840A7F22}"/>
            </c:ext>
          </c:extLst>
        </c:ser>
        <c:ser>
          <c:idx val="2"/>
          <c:order val="2"/>
          <c:tx>
            <c:v>C4A_CF 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CFData!$F$3:$F$203</c:f>
              <c:numCache>
                <c:formatCode>General</c:formatCode>
                <c:ptCount val="201"/>
                <c:pt idx="0">
                  <c:v>380</c:v>
                </c:pt>
                <c:pt idx="1">
                  <c:v>382</c:v>
                </c:pt>
                <c:pt idx="2">
                  <c:v>384</c:v>
                </c:pt>
                <c:pt idx="3">
                  <c:v>386</c:v>
                </c:pt>
                <c:pt idx="4">
                  <c:v>388</c:v>
                </c:pt>
                <c:pt idx="5">
                  <c:v>390</c:v>
                </c:pt>
                <c:pt idx="6">
                  <c:v>392</c:v>
                </c:pt>
                <c:pt idx="7">
                  <c:v>394</c:v>
                </c:pt>
                <c:pt idx="8">
                  <c:v>396</c:v>
                </c:pt>
                <c:pt idx="9">
                  <c:v>398</c:v>
                </c:pt>
                <c:pt idx="10">
                  <c:v>400</c:v>
                </c:pt>
                <c:pt idx="11">
                  <c:v>402</c:v>
                </c:pt>
                <c:pt idx="12">
                  <c:v>404</c:v>
                </c:pt>
                <c:pt idx="13">
                  <c:v>406</c:v>
                </c:pt>
                <c:pt idx="14">
                  <c:v>408</c:v>
                </c:pt>
                <c:pt idx="15">
                  <c:v>410</c:v>
                </c:pt>
                <c:pt idx="16">
                  <c:v>412</c:v>
                </c:pt>
                <c:pt idx="17">
                  <c:v>414</c:v>
                </c:pt>
                <c:pt idx="18">
                  <c:v>416</c:v>
                </c:pt>
                <c:pt idx="19">
                  <c:v>418</c:v>
                </c:pt>
                <c:pt idx="20">
                  <c:v>420</c:v>
                </c:pt>
                <c:pt idx="21">
                  <c:v>422</c:v>
                </c:pt>
                <c:pt idx="22">
                  <c:v>424</c:v>
                </c:pt>
                <c:pt idx="23">
                  <c:v>426</c:v>
                </c:pt>
                <c:pt idx="24">
                  <c:v>428</c:v>
                </c:pt>
                <c:pt idx="25">
                  <c:v>430</c:v>
                </c:pt>
                <c:pt idx="26">
                  <c:v>432</c:v>
                </c:pt>
                <c:pt idx="27">
                  <c:v>434</c:v>
                </c:pt>
                <c:pt idx="28">
                  <c:v>436</c:v>
                </c:pt>
                <c:pt idx="29">
                  <c:v>438</c:v>
                </c:pt>
                <c:pt idx="30">
                  <c:v>440</c:v>
                </c:pt>
                <c:pt idx="31">
                  <c:v>442</c:v>
                </c:pt>
                <c:pt idx="32">
                  <c:v>444</c:v>
                </c:pt>
                <c:pt idx="33">
                  <c:v>446</c:v>
                </c:pt>
                <c:pt idx="34">
                  <c:v>448</c:v>
                </c:pt>
                <c:pt idx="35">
                  <c:v>450</c:v>
                </c:pt>
                <c:pt idx="36">
                  <c:v>452</c:v>
                </c:pt>
                <c:pt idx="37">
                  <c:v>454</c:v>
                </c:pt>
                <c:pt idx="38">
                  <c:v>456</c:v>
                </c:pt>
                <c:pt idx="39">
                  <c:v>458</c:v>
                </c:pt>
                <c:pt idx="40">
                  <c:v>460</c:v>
                </c:pt>
                <c:pt idx="41">
                  <c:v>462</c:v>
                </c:pt>
                <c:pt idx="42">
                  <c:v>464</c:v>
                </c:pt>
                <c:pt idx="43">
                  <c:v>466</c:v>
                </c:pt>
                <c:pt idx="44">
                  <c:v>468</c:v>
                </c:pt>
                <c:pt idx="45">
                  <c:v>470</c:v>
                </c:pt>
                <c:pt idx="46">
                  <c:v>472</c:v>
                </c:pt>
                <c:pt idx="47">
                  <c:v>474</c:v>
                </c:pt>
                <c:pt idx="48">
                  <c:v>476</c:v>
                </c:pt>
                <c:pt idx="49">
                  <c:v>478</c:v>
                </c:pt>
                <c:pt idx="50">
                  <c:v>480</c:v>
                </c:pt>
                <c:pt idx="51">
                  <c:v>482</c:v>
                </c:pt>
                <c:pt idx="52">
                  <c:v>484</c:v>
                </c:pt>
                <c:pt idx="53">
                  <c:v>486</c:v>
                </c:pt>
                <c:pt idx="54">
                  <c:v>488</c:v>
                </c:pt>
                <c:pt idx="55">
                  <c:v>490</c:v>
                </c:pt>
                <c:pt idx="56">
                  <c:v>492</c:v>
                </c:pt>
                <c:pt idx="57">
                  <c:v>494</c:v>
                </c:pt>
                <c:pt idx="58">
                  <c:v>496</c:v>
                </c:pt>
                <c:pt idx="59">
                  <c:v>498</c:v>
                </c:pt>
                <c:pt idx="60">
                  <c:v>500</c:v>
                </c:pt>
                <c:pt idx="61">
                  <c:v>502</c:v>
                </c:pt>
                <c:pt idx="62">
                  <c:v>504</c:v>
                </c:pt>
                <c:pt idx="63">
                  <c:v>506</c:v>
                </c:pt>
                <c:pt idx="64">
                  <c:v>508</c:v>
                </c:pt>
                <c:pt idx="65">
                  <c:v>510</c:v>
                </c:pt>
                <c:pt idx="66">
                  <c:v>512</c:v>
                </c:pt>
                <c:pt idx="67">
                  <c:v>514</c:v>
                </c:pt>
                <c:pt idx="68">
                  <c:v>516</c:v>
                </c:pt>
                <c:pt idx="69">
                  <c:v>518</c:v>
                </c:pt>
                <c:pt idx="70">
                  <c:v>520</c:v>
                </c:pt>
                <c:pt idx="71">
                  <c:v>522</c:v>
                </c:pt>
                <c:pt idx="72">
                  <c:v>524</c:v>
                </c:pt>
                <c:pt idx="73">
                  <c:v>526</c:v>
                </c:pt>
                <c:pt idx="74">
                  <c:v>528</c:v>
                </c:pt>
                <c:pt idx="75">
                  <c:v>530</c:v>
                </c:pt>
                <c:pt idx="76">
                  <c:v>532</c:v>
                </c:pt>
                <c:pt idx="77">
                  <c:v>534</c:v>
                </c:pt>
                <c:pt idx="78">
                  <c:v>536</c:v>
                </c:pt>
                <c:pt idx="79">
                  <c:v>538</c:v>
                </c:pt>
                <c:pt idx="80">
                  <c:v>540</c:v>
                </c:pt>
                <c:pt idx="81">
                  <c:v>542</c:v>
                </c:pt>
                <c:pt idx="82">
                  <c:v>544</c:v>
                </c:pt>
                <c:pt idx="83">
                  <c:v>546</c:v>
                </c:pt>
                <c:pt idx="84">
                  <c:v>548</c:v>
                </c:pt>
                <c:pt idx="85">
                  <c:v>550</c:v>
                </c:pt>
                <c:pt idx="86">
                  <c:v>552</c:v>
                </c:pt>
                <c:pt idx="87">
                  <c:v>554</c:v>
                </c:pt>
                <c:pt idx="88">
                  <c:v>556</c:v>
                </c:pt>
                <c:pt idx="89">
                  <c:v>558</c:v>
                </c:pt>
                <c:pt idx="90">
                  <c:v>560</c:v>
                </c:pt>
                <c:pt idx="91">
                  <c:v>562</c:v>
                </c:pt>
                <c:pt idx="92">
                  <c:v>564</c:v>
                </c:pt>
                <c:pt idx="93">
                  <c:v>566</c:v>
                </c:pt>
                <c:pt idx="94">
                  <c:v>568</c:v>
                </c:pt>
                <c:pt idx="95">
                  <c:v>570</c:v>
                </c:pt>
                <c:pt idx="96">
                  <c:v>572</c:v>
                </c:pt>
                <c:pt idx="97">
                  <c:v>574</c:v>
                </c:pt>
                <c:pt idx="98">
                  <c:v>576</c:v>
                </c:pt>
                <c:pt idx="99">
                  <c:v>578</c:v>
                </c:pt>
                <c:pt idx="100">
                  <c:v>580</c:v>
                </c:pt>
                <c:pt idx="101">
                  <c:v>582</c:v>
                </c:pt>
                <c:pt idx="102">
                  <c:v>584</c:v>
                </c:pt>
                <c:pt idx="103">
                  <c:v>586</c:v>
                </c:pt>
                <c:pt idx="104">
                  <c:v>588</c:v>
                </c:pt>
                <c:pt idx="105">
                  <c:v>590</c:v>
                </c:pt>
                <c:pt idx="106">
                  <c:v>592</c:v>
                </c:pt>
                <c:pt idx="107">
                  <c:v>594</c:v>
                </c:pt>
                <c:pt idx="108">
                  <c:v>596</c:v>
                </c:pt>
                <c:pt idx="109">
                  <c:v>598</c:v>
                </c:pt>
                <c:pt idx="110">
                  <c:v>600</c:v>
                </c:pt>
                <c:pt idx="111">
                  <c:v>602</c:v>
                </c:pt>
                <c:pt idx="112">
                  <c:v>604</c:v>
                </c:pt>
                <c:pt idx="113">
                  <c:v>606</c:v>
                </c:pt>
                <c:pt idx="114">
                  <c:v>608</c:v>
                </c:pt>
                <c:pt idx="115">
                  <c:v>610</c:v>
                </c:pt>
                <c:pt idx="116">
                  <c:v>612</c:v>
                </c:pt>
                <c:pt idx="117">
                  <c:v>614</c:v>
                </c:pt>
                <c:pt idx="118">
                  <c:v>616</c:v>
                </c:pt>
                <c:pt idx="119">
                  <c:v>618</c:v>
                </c:pt>
                <c:pt idx="120">
                  <c:v>620</c:v>
                </c:pt>
                <c:pt idx="121">
                  <c:v>622</c:v>
                </c:pt>
                <c:pt idx="122">
                  <c:v>624</c:v>
                </c:pt>
                <c:pt idx="123">
                  <c:v>626</c:v>
                </c:pt>
                <c:pt idx="124">
                  <c:v>628</c:v>
                </c:pt>
                <c:pt idx="125">
                  <c:v>630</c:v>
                </c:pt>
                <c:pt idx="126">
                  <c:v>632</c:v>
                </c:pt>
                <c:pt idx="127">
                  <c:v>634</c:v>
                </c:pt>
                <c:pt idx="128">
                  <c:v>636</c:v>
                </c:pt>
                <c:pt idx="129">
                  <c:v>638</c:v>
                </c:pt>
                <c:pt idx="130">
                  <c:v>640</c:v>
                </c:pt>
                <c:pt idx="131">
                  <c:v>642</c:v>
                </c:pt>
                <c:pt idx="132">
                  <c:v>644</c:v>
                </c:pt>
                <c:pt idx="133">
                  <c:v>646</c:v>
                </c:pt>
                <c:pt idx="134">
                  <c:v>648</c:v>
                </c:pt>
                <c:pt idx="135">
                  <c:v>650</c:v>
                </c:pt>
                <c:pt idx="136">
                  <c:v>652</c:v>
                </c:pt>
                <c:pt idx="137">
                  <c:v>654</c:v>
                </c:pt>
                <c:pt idx="138">
                  <c:v>656</c:v>
                </c:pt>
                <c:pt idx="139">
                  <c:v>658</c:v>
                </c:pt>
                <c:pt idx="140">
                  <c:v>660</c:v>
                </c:pt>
                <c:pt idx="141">
                  <c:v>662</c:v>
                </c:pt>
                <c:pt idx="142">
                  <c:v>664</c:v>
                </c:pt>
                <c:pt idx="143">
                  <c:v>666</c:v>
                </c:pt>
                <c:pt idx="144">
                  <c:v>668</c:v>
                </c:pt>
                <c:pt idx="145">
                  <c:v>670</c:v>
                </c:pt>
                <c:pt idx="146">
                  <c:v>672</c:v>
                </c:pt>
                <c:pt idx="147">
                  <c:v>674</c:v>
                </c:pt>
                <c:pt idx="148">
                  <c:v>676</c:v>
                </c:pt>
                <c:pt idx="149">
                  <c:v>678</c:v>
                </c:pt>
                <c:pt idx="150">
                  <c:v>680</c:v>
                </c:pt>
                <c:pt idx="151">
                  <c:v>682</c:v>
                </c:pt>
                <c:pt idx="152">
                  <c:v>684</c:v>
                </c:pt>
                <c:pt idx="153">
                  <c:v>686</c:v>
                </c:pt>
                <c:pt idx="154">
                  <c:v>688</c:v>
                </c:pt>
                <c:pt idx="155">
                  <c:v>690</c:v>
                </c:pt>
                <c:pt idx="156">
                  <c:v>692</c:v>
                </c:pt>
                <c:pt idx="157">
                  <c:v>694</c:v>
                </c:pt>
                <c:pt idx="158">
                  <c:v>696</c:v>
                </c:pt>
                <c:pt idx="159">
                  <c:v>698</c:v>
                </c:pt>
                <c:pt idx="160">
                  <c:v>700</c:v>
                </c:pt>
                <c:pt idx="161">
                  <c:v>702</c:v>
                </c:pt>
                <c:pt idx="162">
                  <c:v>704</c:v>
                </c:pt>
                <c:pt idx="163">
                  <c:v>706</c:v>
                </c:pt>
                <c:pt idx="164">
                  <c:v>708</c:v>
                </c:pt>
                <c:pt idx="165">
                  <c:v>710</c:v>
                </c:pt>
                <c:pt idx="166">
                  <c:v>712</c:v>
                </c:pt>
                <c:pt idx="167">
                  <c:v>714</c:v>
                </c:pt>
                <c:pt idx="168">
                  <c:v>716</c:v>
                </c:pt>
                <c:pt idx="169">
                  <c:v>718</c:v>
                </c:pt>
                <c:pt idx="170">
                  <c:v>720</c:v>
                </c:pt>
                <c:pt idx="171">
                  <c:v>722</c:v>
                </c:pt>
                <c:pt idx="172">
                  <c:v>724</c:v>
                </c:pt>
                <c:pt idx="173">
                  <c:v>726</c:v>
                </c:pt>
                <c:pt idx="174">
                  <c:v>728</c:v>
                </c:pt>
                <c:pt idx="175">
                  <c:v>730</c:v>
                </c:pt>
                <c:pt idx="176">
                  <c:v>732</c:v>
                </c:pt>
                <c:pt idx="177">
                  <c:v>734</c:v>
                </c:pt>
                <c:pt idx="178">
                  <c:v>736</c:v>
                </c:pt>
                <c:pt idx="179">
                  <c:v>738</c:v>
                </c:pt>
                <c:pt idx="180">
                  <c:v>740</c:v>
                </c:pt>
                <c:pt idx="181">
                  <c:v>742</c:v>
                </c:pt>
                <c:pt idx="182">
                  <c:v>744</c:v>
                </c:pt>
                <c:pt idx="183">
                  <c:v>746</c:v>
                </c:pt>
                <c:pt idx="184">
                  <c:v>748</c:v>
                </c:pt>
                <c:pt idx="185">
                  <c:v>750</c:v>
                </c:pt>
                <c:pt idx="186">
                  <c:v>752</c:v>
                </c:pt>
                <c:pt idx="187">
                  <c:v>754</c:v>
                </c:pt>
                <c:pt idx="188">
                  <c:v>756</c:v>
                </c:pt>
                <c:pt idx="189">
                  <c:v>758</c:v>
                </c:pt>
                <c:pt idx="190">
                  <c:v>760</c:v>
                </c:pt>
                <c:pt idx="191">
                  <c:v>762</c:v>
                </c:pt>
                <c:pt idx="192">
                  <c:v>764</c:v>
                </c:pt>
                <c:pt idx="193">
                  <c:v>766</c:v>
                </c:pt>
                <c:pt idx="194">
                  <c:v>768</c:v>
                </c:pt>
                <c:pt idx="195">
                  <c:v>770</c:v>
                </c:pt>
                <c:pt idx="196">
                  <c:v>772</c:v>
                </c:pt>
                <c:pt idx="197">
                  <c:v>774</c:v>
                </c:pt>
                <c:pt idx="198">
                  <c:v>776</c:v>
                </c:pt>
                <c:pt idx="199">
                  <c:v>778</c:v>
                </c:pt>
                <c:pt idx="200">
                  <c:v>780</c:v>
                </c:pt>
              </c:numCache>
            </c:numRef>
          </c:xVal>
          <c:yVal>
            <c:numRef>
              <c:f>CFData!$G$3:$G$203</c:f>
              <c:numCache>
                <c:formatCode>General</c:formatCode>
                <c:ptCount val="201"/>
                <c:pt idx="0">
                  <c:v>9.6987577066957098E-2</c:v>
                </c:pt>
                <c:pt idx="1">
                  <c:v>8.9507074449801258E-2</c:v>
                </c:pt>
                <c:pt idx="2">
                  <c:v>8.2026571832645445E-2</c:v>
                </c:pt>
                <c:pt idx="3">
                  <c:v>7.5081505090353232E-2</c:v>
                </c:pt>
                <c:pt idx="4">
                  <c:v>6.8671874222924631E-2</c:v>
                </c:pt>
                <c:pt idx="5">
                  <c:v>6.2262243355496044E-2</c:v>
                </c:pt>
                <c:pt idx="6">
                  <c:v>6.1630450186093783E-2</c:v>
                </c:pt>
                <c:pt idx="7">
                  <c:v>6.0998657016691507E-2</c:v>
                </c:pt>
                <c:pt idx="8">
                  <c:v>5.8390725010167663E-2</c:v>
                </c:pt>
                <c:pt idx="9">
                  <c:v>5.3806654166522243E-2</c:v>
                </c:pt>
                <c:pt idx="10">
                  <c:v>4.9222583322876823E-2</c:v>
                </c:pt>
                <c:pt idx="11">
                  <c:v>4.4242956445797718E-2</c:v>
                </c:pt>
                <c:pt idx="12">
                  <c:v>3.9263329568718607E-2</c:v>
                </c:pt>
                <c:pt idx="13">
                  <c:v>3.4876945764937606E-2</c:v>
                </c:pt>
                <c:pt idx="14">
                  <c:v>3.1083805034454719E-2</c:v>
                </c:pt>
                <c:pt idx="15">
                  <c:v>2.729066430397184E-2</c:v>
                </c:pt>
                <c:pt idx="16">
                  <c:v>2.4116868418556356E-2</c:v>
                </c:pt>
                <c:pt idx="17">
                  <c:v>2.0943072533140879E-2</c:v>
                </c:pt>
                <c:pt idx="18">
                  <c:v>1.8336803849810998E-2</c:v>
                </c:pt>
                <c:pt idx="19">
                  <c:v>1.6298062368566721E-2</c:v>
                </c:pt>
                <c:pt idx="20">
                  <c:v>1.4259320887322444E-2</c:v>
                </c:pt>
                <c:pt idx="21">
                  <c:v>1.2229016734905162E-2</c:v>
                </c:pt>
                <c:pt idx="22">
                  <c:v>1.0198712582487878E-2</c:v>
                </c:pt>
                <c:pt idx="23">
                  <c:v>8.4725334889641426E-3</c:v>
                </c:pt>
                <c:pt idx="24">
                  <c:v>7.0504794543339551E-3</c:v>
                </c:pt>
                <c:pt idx="25">
                  <c:v>5.6284254197037668E-3</c:v>
                </c:pt>
                <c:pt idx="26">
                  <c:v>5.0194253933807439E-3</c:v>
                </c:pt>
                <c:pt idx="27">
                  <c:v>4.4104253670577192E-3</c:v>
                </c:pt>
                <c:pt idx="28">
                  <c:v>3.8796405123385901E-3</c:v>
                </c:pt>
                <c:pt idx="29">
                  <c:v>3.4270708292233549E-3</c:v>
                </c:pt>
                <c:pt idx="30">
                  <c:v>2.9745011461081191E-3</c:v>
                </c:pt>
                <c:pt idx="31">
                  <c:v>2.6741243540432144E-3</c:v>
                </c:pt>
                <c:pt idx="32">
                  <c:v>2.3737475619783092E-3</c:v>
                </c:pt>
                <c:pt idx="33">
                  <c:v>2.0806914569918272E-3</c:v>
                </c:pt>
                <c:pt idx="34">
                  <c:v>1.7949560390837674E-3</c:v>
                </c:pt>
                <c:pt idx="35">
                  <c:v>1.5092206211757082E-3</c:v>
                </c:pt>
                <c:pt idx="36">
                  <c:v>1.316324251925037E-3</c:v>
                </c:pt>
                <c:pt idx="37">
                  <c:v>1.1234278826743659E-3</c:v>
                </c:pt>
                <c:pt idx="38">
                  <c:v>9.9467511834787055E-4</c:v>
                </c:pt>
                <c:pt idx="39">
                  <c:v>9.3006595894555121E-4</c:v>
                </c:pt>
                <c:pt idx="40">
                  <c:v>8.6545679954323177E-4</c:v>
                </c:pt>
                <c:pt idx="41">
                  <c:v>7.7923020065430752E-4</c:v>
                </c:pt>
                <c:pt idx="42">
                  <c:v>6.9300360176538305E-4</c:v>
                </c:pt>
                <c:pt idx="43">
                  <c:v>6.5093932593876557E-4</c:v>
                </c:pt>
                <c:pt idx="44">
                  <c:v>6.5303737317445496E-4</c:v>
                </c:pt>
                <c:pt idx="45">
                  <c:v>6.5513542041014425E-4</c:v>
                </c:pt>
                <c:pt idx="46">
                  <c:v>6.5085185422565173E-4</c:v>
                </c:pt>
                <c:pt idx="47">
                  <c:v>6.4656828804115932E-4</c:v>
                </c:pt>
                <c:pt idx="48">
                  <c:v>6.4655306360901412E-4</c:v>
                </c:pt>
                <c:pt idx="49">
                  <c:v>6.5080618092921625E-4</c:v>
                </c:pt>
                <c:pt idx="50">
                  <c:v>6.5505929824941826E-4</c:v>
                </c:pt>
                <c:pt idx="51">
                  <c:v>6.0578923390996141E-4</c:v>
                </c:pt>
                <c:pt idx="52">
                  <c:v>5.5651916957050456E-4</c:v>
                </c:pt>
                <c:pt idx="53">
                  <c:v>5.0784880055297871E-4</c:v>
                </c:pt>
                <c:pt idx="54">
                  <c:v>4.5977812685738385E-4</c:v>
                </c:pt>
                <c:pt idx="55">
                  <c:v>4.1170745316178894E-4</c:v>
                </c:pt>
                <c:pt idx="56">
                  <c:v>4.0429838530176986E-4</c:v>
                </c:pt>
                <c:pt idx="57">
                  <c:v>3.9688931744175066E-4</c:v>
                </c:pt>
                <c:pt idx="58">
                  <c:v>3.9193200530701102E-4</c:v>
                </c:pt>
                <c:pt idx="59">
                  <c:v>3.8942644889755081E-4</c:v>
                </c:pt>
                <c:pt idx="60">
                  <c:v>3.8692089248809055E-4</c:v>
                </c:pt>
                <c:pt idx="61">
                  <c:v>3.3966558420305915E-4</c:v>
                </c:pt>
                <c:pt idx="62">
                  <c:v>2.9241027591802763E-4</c:v>
                </c:pt>
                <c:pt idx="63">
                  <c:v>2.5322160850365516E-4</c:v>
                </c:pt>
                <c:pt idx="64">
                  <c:v>2.2209958195994179E-4</c:v>
                </c:pt>
                <c:pt idx="65">
                  <c:v>1.9097755541622839E-4</c:v>
                </c:pt>
                <c:pt idx="66">
                  <c:v>2.2314019521536181E-4</c:v>
                </c:pt>
                <c:pt idx="67">
                  <c:v>2.5530283501449521E-4</c:v>
                </c:pt>
                <c:pt idx="68">
                  <c:v>2.7726308698656902E-4</c:v>
                </c:pt>
                <c:pt idx="69">
                  <c:v>2.8902095113158324E-4</c:v>
                </c:pt>
                <c:pt idx="70">
                  <c:v>3.007788152765974E-4</c:v>
                </c:pt>
                <c:pt idx="71">
                  <c:v>2.991871172136964E-4</c:v>
                </c:pt>
                <c:pt idx="72">
                  <c:v>2.9759541915079534E-4</c:v>
                </c:pt>
                <c:pt idx="73">
                  <c:v>2.9066417326356077E-4</c:v>
                </c:pt>
                <c:pt idx="74">
                  <c:v>2.7839337955199258E-4</c:v>
                </c:pt>
                <c:pt idx="75">
                  <c:v>2.6612258584042439E-4</c:v>
                </c:pt>
                <c:pt idx="76">
                  <c:v>2.5689902517718596E-4</c:v>
                </c:pt>
                <c:pt idx="77">
                  <c:v>2.4767546451394753E-4</c:v>
                </c:pt>
                <c:pt idx="78">
                  <c:v>2.4093891999580439E-4</c:v>
                </c:pt>
                <c:pt idx="79">
                  <c:v>2.3668939162275655E-4</c:v>
                </c:pt>
                <c:pt idx="80">
                  <c:v>2.3243986324970875E-4</c:v>
                </c:pt>
                <c:pt idx="81">
                  <c:v>2.6094887793982549E-4</c:v>
                </c:pt>
                <c:pt idx="82">
                  <c:v>2.8945789262994226E-4</c:v>
                </c:pt>
                <c:pt idx="83">
                  <c:v>3.0620591664992782E-4</c:v>
                </c:pt>
                <c:pt idx="84">
                  <c:v>3.1119294999978209E-4</c:v>
                </c:pt>
                <c:pt idx="85">
                  <c:v>3.1617998334963635E-4</c:v>
                </c:pt>
                <c:pt idx="86">
                  <c:v>3.0565761229051688E-4</c:v>
                </c:pt>
                <c:pt idx="87">
                  <c:v>2.9513524123139741E-4</c:v>
                </c:pt>
                <c:pt idx="88">
                  <c:v>2.9747338804573013E-4</c:v>
                </c:pt>
                <c:pt idx="89">
                  <c:v>3.1267205273351515E-4</c:v>
                </c:pt>
                <c:pt idx="90">
                  <c:v>3.2787071742130001E-4</c:v>
                </c:pt>
                <c:pt idx="91">
                  <c:v>3.845168806056818E-4</c:v>
                </c:pt>
                <c:pt idx="92">
                  <c:v>4.4116304379006349E-4</c:v>
                </c:pt>
                <c:pt idx="93">
                  <c:v>4.9938437418899789E-4</c:v>
                </c:pt>
                <c:pt idx="94">
                  <c:v>5.5918087180248507E-4</c:v>
                </c:pt>
                <c:pt idx="95">
                  <c:v>6.1897736941597225E-4</c:v>
                </c:pt>
                <c:pt idx="96">
                  <c:v>1.8946718792431214E-3</c:v>
                </c:pt>
                <c:pt idx="97">
                  <c:v>3.1703663890702703E-3</c:v>
                </c:pt>
                <c:pt idx="98">
                  <c:v>8.2080200765985312E-3</c:v>
                </c:pt>
                <c:pt idx="99">
                  <c:v>1.7007632941827902E-2</c:v>
                </c:pt>
                <c:pt idx="100">
                  <c:v>2.5807245807057278E-2</c:v>
                </c:pt>
                <c:pt idx="101">
                  <c:v>5.3123430736614609E-2</c:v>
                </c:pt>
                <c:pt idx="102">
                  <c:v>8.0439615666171943E-2</c:v>
                </c:pt>
                <c:pt idx="103">
                  <c:v>0.12311905863673965</c:v>
                </c:pt>
                <c:pt idx="104">
                  <c:v>0.18116175964831777</c:v>
                </c:pt>
                <c:pt idx="105">
                  <c:v>0.23920446065989584</c:v>
                </c:pt>
                <c:pt idx="106">
                  <c:v>0.31533377435468402</c:v>
                </c:pt>
                <c:pt idx="107">
                  <c:v>0.39146308804947216</c:v>
                </c:pt>
                <c:pt idx="108">
                  <c:v>0.46154637005517468</c:v>
                </c:pt>
                <c:pt idx="109">
                  <c:v>0.5255836203717914</c:v>
                </c:pt>
                <c:pt idx="110">
                  <c:v>0.58962087068840829</c:v>
                </c:pt>
                <c:pt idx="111">
                  <c:v>0.64017175136164317</c:v>
                </c:pt>
                <c:pt idx="112">
                  <c:v>0.69072263203487794</c:v>
                </c:pt>
                <c:pt idx="113">
                  <c:v>0.73741609199961566</c:v>
                </c:pt>
                <c:pt idx="114">
                  <c:v>0.78025213125585624</c:v>
                </c:pt>
                <c:pt idx="115">
                  <c:v>0.82308817051209682</c:v>
                </c:pt>
                <c:pt idx="116">
                  <c:v>0.84869440227203508</c:v>
                </c:pt>
                <c:pt idx="117">
                  <c:v>0.87430063403197333</c:v>
                </c:pt>
                <c:pt idx="118">
                  <c:v>0.88961062855263651</c:v>
                </c:pt>
                <c:pt idx="119">
                  <c:v>0.89462438583402493</c:v>
                </c:pt>
                <c:pt idx="120">
                  <c:v>0.89963814311541324</c:v>
                </c:pt>
                <c:pt idx="121">
                  <c:v>0.89635932222876191</c:v>
                </c:pt>
                <c:pt idx="122">
                  <c:v>0.89308050134211081</c:v>
                </c:pt>
                <c:pt idx="123">
                  <c:v>0.89059407707355964</c:v>
                </c:pt>
                <c:pt idx="124">
                  <c:v>0.88890004942310863</c:v>
                </c:pt>
                <c:pt idx="125">
                  <c:v>0.88720602177265784</c:v>
                </c:pt>
                <c:pt idx="126">
                  <c:v>0.89180924851328158</c:v>
                </c:pt>
                <c:pt idx="127">
                  <c:v>0.89641247525390555</c:v>
                </c:pt>
                <c:pt idx="128">
                  <c:v>0.90424750977752988</c:v>
                </c:pt>
                <c:pt idx="129">
                  <c:v>0.91531435208415457</c:v>
                </c:pt>
                <c:pt idx="130">
                  <c:v>0.92638119439077948</c:v>
                </c:pt>
                <c:pt idx="131">
                  <c:v>0.93558868790355765</c:v>
                </c:pt>
                <c:pt idx="132">
                  <c:v>0.94479618141633603</c:v>
                </c:pt>
                <c:pt idx="133">
                  <c:v>0.95215875100224379</c:v>
                </c:pt>
                <c:pt idx="134">
                  <c:v>0.95767639666128102</c:v>
                </c:pt>
                <c:pt idx="135">
                  <c:v>0.96319404232031824</c:v>
                </c:pt>
                <c:pt idx="136">
                  <c:v>0.96090724320000076</c:v>
                </c:pt>
                <c:pt idx="137">
                  <c:v>0.95862044407968339</c:v>
                </c:pt>
                <c:pt idx="138">
                  <c:v>0.95452588532666005</c:v>
                </c:pt>
                <c:pt idx="139">
                  <c:v>0.94862356694093108</c:v>
                </c:pt>
                <c:pt idx="140">
                  <c:v>0.94272124855520179</c:v>
                </c:pt>
                <c:pt idx="141">
                  <c:v>0.93532699803817931</c:v>
                </c:pt>
                <c:pt idx="142">
                  <c:v>0.92793274752115662</c:v>
                </c:pt>
                <c:pt idx="143">
                  <c:v>0.92218647700532586</c:v>
                </c:pt>
                <c:pt idx="144">
                  <c:v>0.91808818649068702</c:v>
                </c:pt>
                <c:pt idx="145">
                  <c:v>0.91398989597604807</c:v>
                </c:pt>
                <c:pt idx="146">
                  <c:v>0.91560208186915071</c:v>
                </c:pt>
                <c:pt idx="147">
                  <c:v>0.91721426776225323</c:v>
                </c:pt>
                <c:pt idx="148">
                  <c:v>0.9202412555961671</c:v>
                </c:pt>
                <c:pt idx="149">
                  <c:v>0.92468304537089197</c:v>
                </c:pt>
                <c:pt idx="150">
                  <c:v>0.92912483514561706</c:v>
                </c:pt>
                <c:pt idx="151">
                  <c:v>0.93651209275686553</c:v>
                </c:pt>
                <c:pt idx="152">
                  <c:v>0.94389935036811423</c:v>
                </c:pt>
                <c:pt idx="153">
                  <c:v>0.95036194234568117</c:v>
                </c:pt>
                <c:pt idx="154">
                  <c:v>0.95589986868956656</c:v>
                </c:pt>
                <c:pt idx="155">
                  <c:v>0.96143779503345206</c:v>
                </c:pt>
                <c:pt idx="156">
                  <c:v>0.96433072729755454</c:v>
                </c:pt>
                <c:pt idx="157">
                  <c:v>0.96722365956165712</c:v>
                </c:pt>
                <c:pt idx="158">
                  <c:v>0.96822900703553194</c:v>
                </c:pt>
                <c:pt idx="159">
                  <c:v>0.96734676971917921</c:v>
                </c:pt>
                <c:pt idx="160">
                  <c:v>0.96646453240282659</c:v>
                </c:pt>
                <c:pt idx="161">
                  <c:v>0.96338704444913681</c:v>
                </c:pt>
                <c:pt idx="162">
                  <c:v>0.96030955649544714</c:v>
                </c:pt>
                <c:pt idx="163">
                  <c:v>0.95720234954902916</c:v>
                </c:pt>
                <c:pt idx="164">
                  <c:v>0.95406542360988311</c:v>
                </c:pt>
                <c:pt idx="165">
                  <c:v>0.95092849767073717</c:v>
                </c:pt>
                <c:pt idx="166">
                  <c:v>0.94560021214596468</c:v>
                </c:pt>
                <c:pt idx="167">
                  <c:v>0.9402719266211923</c:v>
                </c:pt>
                <c:pt idx="168">
                  <c:v>0.93604164223208408</c:v>
                </c:pt>
                <c:pt idx="169">
                  <c:v>0.93290935897864025</c:v>
                </c:pt>
                <c:pt idx="170">
                  <c:v>0.92977707572519652</c:v>
                </c:pt>
                <c:pt idx="171">
                  <c:v>0.92983475411296523</c:v>
                </c:pt>
                <c:pt idx="172">
                  <c:v>0.92989243250073406</c:v>
                </c:pt>
                <c:pt idx="173">
                  <c:v>0.93095189533550704</c:v>
                </c:pt>
                <c:pt idx="174">
                  <c:v>0.93301314261728407</c:v>
                </c:pt>
                <c:pt idx="175">
                  <c:v>0.935074389899061</c:v>
                </c:pt>
                <c:pt idx="176">
                  <c:v>0.93819555903307839</c:v>
                </c:pt>
                <c:pt idx="177">
                  <c:v>0.94131672816709566</c:v>
                </c:pt>
                <c:pt idx="178">
                  <c:v>0.94595828825606509</c:v>
                </c:pt>
                <c:pt idx="179">
                  <c:v>0.95212023929998646</c:v>
                </c:pt>
                <c:pt idx="180">
                  <c:v>0.95828219034390794</c:v>
                </c:pt>
                <c:pt idx="181">
                  <c:v>0.96362933542510898</c:v>
                </c:pt>
                <c:pt idx="182">
                  <c:v>0.96897648050631013</c:v>
                </c:pt>
                <c:pt idx="183">
                  <c:v>0.97243965599403692</c:v>
                </c:pt>
                <c:pt idx="184">
                  <c:v>0.97401886188828946</c:v>
                </c:pt>
                <c:pt idx="185">
                  <c:v>0.97559806778254166</c:v>
                </c:pt>
                <c:pt idx="186">
                  <c:v>0.97585443171640374</c:v>
                </c:pt>
                <c:pt idx="187">
                  <c:v>0.97611079565026571</c:v>
                </c:pt>
                <c:pt idx="188">
                  <c:v>0.97534370654725233</c:v>
                </c:pt>
                <c:pt idx="189">
                  <c:v>0.97355316440736328</c:v>
                </c:pt>
                <c:pt idx="190">
                  <c:v>0.97176262226747423</c:v>
                </c:pt>
                <c:pt idx="191">
                  <c:v>0.97306790403397747</c:v>
                </c:pt>
                <c:pt idx="192">
                  <c:v>0.9743731858004806</c:v>
                </c:pt>
                <c:pt idx="193">
                  <c:v>0.97268803033896289</c:v>
                </c:pt>
                <c:pt idx="194">
                  <c:v>0.96801243764942413</c:v>
                </c:pt>
                <c:pt idx="195">
                  <c:v>0.96333684495988536</c:v>
                </c:pt>
                <c:pt idx="196">
                  <c:v>0.94990980959519045</c:v>
                </c:pt>
                <c:pt idx="197">
                  <c:v>0.93648277423049542</c:v>
                </c:pt>
                <c:pt idx="198">
                  <c:v>0.92827409525869442</c:v>
                </c:pt>
                <c:pt idx="199">
                  <c:v>0.92528377267978745</c:v>
                </c:pt>
                <c:pt idx="200">
                  <c:v>0.92229345010088049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DD-4F98-8C17-698E840A7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80328"/>
        <c:axId val="194184640"/>
      </c:scatterChart>
      <c:valAx>
        <c:axId val="194180328"/>
        <c:scaling>
          <c:orientation val="minMax"/>
          <c:max val="780"/>
          <c:min val="3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4640"/>
        <c:crosses val="autoZero"/>
        <c:crossBetween val="midCat"/>
      </c:valAx>
      <c:valAx>
        <c:axId val="19418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4180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chart" Target="../charts/chart21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11" Type="http://schemas.openxmlformats.org/officeDocument/2006/relationships/chart" Target="../charts/chart20.xml"/><Relationship Id="rId5" Type="http://schemas.openxmlformats.org/officeDocument/2006/relationships/chart" Target="../charts/chart14.xml"/><Relationship Id="rId10" Type="http://schemas.openxmlformats.org/officeDocument/2006/relationships/chart" Target="../charts/chart19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13" Type="http://schemas.openxmlformats.org/officeDocument/2006/relationships/chart" Target="../charts/chart34.xml"/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12" Type="http://schemas.openxmlformats.org/officeDocument/2006/relationships/chart" Target="../charts/chart33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11" Type="http://schemas.openxmlformats.org/officeDocument/2006/relationships/chart" Target="../charts/chart32.xml"/><Relationship Id="rId5" Type="http://schemas.openxmlformats.org/officeDocument/2006/relationships/chart" Target="../charts/chart26.xml"/><Relationship Id="rId15" Type="http://schemas.openxmlformats.org/officeDocument/2006/relationships/chart" Target="../charts/chart36.xml"/><Relationship Id="rId10" Type="http://schemas.openxmlformats.org/officeDocument/2006/relationships/chart" Target="../charts/chart31.xml"/><Relationship Id="rId4" Type="http://schemas.openxmlformats.org/officeDocument/2006/relationships/chart" Target="../charts/chart25.xml"/><Relationship Id="rId9" Type="http://schemas.openxmlformats.org/officeDocument/2006/relationships/chart" Target="../charts/chart30.xml"/><Relationship Id="rId14" Type="http://schemas.openxmlformats.org/officeDocument/2006/relationships/chart" Target="../charts/chart3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10</xdr:col>
          <xdr:colOff>9525</xdr:colOff>
          <xdr:row>3</xdr:row>
          <xdr:rowOff>9525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9525</xdr:colOff>
          <xdr:row>5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</xdr:row>
          <xdr:rowOff>9525</xdr:rowOff>
        </xdr:from>
        <xdr:to>
          <xdr:col>10</xdr:col>
          <xdr:colOff>9525</xdr:colOff>
          <xdr:row>7</xdr:row>
          <xdr:rowOff>9525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10</xdr:row>
          <xdr:rowOff>247650</xdr:rowOff>
        </xdr:from>
        <xdr:to>
          <xdr:col>16</xdr:col>
          <xdr:colOff>0</xdr:colOff>
          <xdr:row>12</xdr:row>
          <xdr:rowOff>114300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0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299605</xdr:colOff>
      <xdr:row>14</xdr:row>
      <xdr:rowOff>181841</xdr:rowOff>
    </xdr:from>
    <xdr:to>
      <xdr:col>10</xdr:col>
      <xdr:colOff>457949</xdr:colOff>
      <xdr:row>23</xdr:row>
      <xdr:rowOff>207865</xdr:rowOff>
    </xdr:to>
    <xdr:graphicFrame macro="">
      <xdr:nvGraphicFramePr>
        <xdr:cNvPr id="19" name="圖表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2138796</xdr:colOff>
      <xdr:row>14</xdr:row>
      <xdr:rowOff>181841</xdr:rowOff>
    </xdr:from>
    <xdr:to>
      <xdr:col>8</xdr:col>
      <xdr:colOff>178675</xdr:colOff>
      <xdr:row>23</xdr:row>
      <xdr:rowOff>207865</xdr:rowOff>
    </xdr:to>
    <xdr:graphicFrame macro="">
      <xdr:nvGraphicFramePr>
        <xdr:cNvPr id="20" name="圖表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17319</xdr:colOff>
      <xdr:row>14</xdr:row>
      <xdr:rowOff>181841</xdr:rowOff>
    </xdr:from>
    <xdr:to>
      <xdr:col>13</xdr:col>
      <xdr:colOff>388224</xdr:colOff>
      <xdr:row>23</xdr:row>
      <xdr:rowOff>207865</xdr:rowOff>
    </xdr:to>
    <xdr:graphicFrame macro="">
      <xdr:nvGraphicFramePr>
        <xdr:cNvPr id="21" name="圖表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9</xdr:row>
      <xdr:rowOff>0</xdr:rowOff>
    </xdr:from>
    <xdr:to>
      <xdr:col>3</xdr:col>
      <xdr:colOff>1748543</xdr:colOff>
      <xdr:row>24</xdr:row>
      <xdr:rowOff>232826</xdr:rowOff>
    </xdr:to>
    <xdr:graphicFrame macro="">
      <xdr:nvGraphicFramePr>
        <xdr:cNvPr id="22" name="圖表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17</xdr:col>
      <xdr:colOff>454800</xdr:colOff>
      <xdr:row>26</xdr:row>
      <xdr:rowOff>150000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13</xdr:col>
      <xdr:colOff>430239</xdr:colOff>
      <xdr:row>42</xdr:row>
      <xdr:rowOff>72783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28</xdr:row>
      <xdr:rowOff>0</xdr:rowOff>
    </xdr:from>
    <xdr:to>
      <xdr:col>8</xdr:col>
      <xdr:colOff>554479</xdr:colOff>
      <xdr:row>42</xdr:row>
      <xdr:rowOff>72783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28</xdr:row>
      <xdr:rowOff>0</xdr:rowOff>
    </xdr:from>
    <xdr:to>
      <xdr:col>17</xdr:col>
      <xdr:colOff>554478</xdr:colOff>
      <xdr:row>42</xdr:row>
      <xdr:rowOff>72783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1</xdr:row>
      <xdr:rowOff>0</xdr:rowOff>
    </xdr:from>
    <xdr:to>
      <xdr:col>10</xdr:col>
      <xdr:colOff>578625</xdr:colOff>
      <xdr:row>27</xdr:row>
      <xdr:rowOff>913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11908</xdr:colOff>
      <xdr:row>0</xdr:row>
      <xdr:rowOff>0</xdr:rowOff>
    </xdr:from>
    <xdr:to>
      <xdr:col>21</xdr:col>
      <xdr:colOff>484784</xdr:colOff>
      <xdr:row>12</xdr:row>
      <xdr:rowOff>40393</xdr:rowOff>
    </xdr:to>
    <xdr:graphicFrame macro="">
      <xdr:nvGraphicFramePr>
        <xdr:cNvPr id="26" name="圖表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23813</xdr:colOff>
      <xdr:row>12</xdr:row>
      <xdr:rowOff>11906</xdr:rowOff>
    </xdr:from>
    <xdr:to>
      <xdr:col>21</xdr:col>
      <xdr:colOff>460970</xdr:colOff>
      <xdr:row>24</xdr:row>
      <xdr:rowOff>38692</xdr:rowOff>
    </xdr:to>
    <xdr:graphicFrame macro="">
      <xdr:nvGraphicFramePr>
        <xdr:cNvPr id="27" name="圖表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476252</xdr:colOff>
      <xdr:row>0</xdr:row>
      <xdr:rowOff>0</xdr:rowOff>
    </xdr:from>
    <xdr:to>
      <xdr:col>28</xdr:col>
      <xdr:colOff>615753</xdr:colOff>
      <xdr:row>12</xdr:row>
      <xdr:rowOff>40393</xdr:rowOff>
    </xdr:to>
    <xdr:graphicFrame macro="">
      <xdr:nvGraphicFramePr>
        <xdr:cNvPr id="28" name="圖表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464345</xdr:colOff>
      <xdr:row>11</xdr:row>
      <xdr:rowOff>178593</xdr:rowOff>
    </xdr:from>
    <xdr:to>
      <xdr:col>28</xdr:col>
      <xdr:colOff>603846</xdr:colOff>
      <xdr:row>24</xdr:row>
      <xdr:rowOff>14879</xdr:rowOff>
    </xdr:to>
    <xdr:graphicFrame macro="">
      <xdr:nvGraphicFramePr>
        <xdr:cNvPr id="29" name="圖表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593611</xdr:colOff>
      <xdr:row>0</xdr:row>
      <xdr:rowOff>0</xdr:rowOff>
    </xdr:from>
    <xdr:to>
      <xdr:col>34</xdr:col>
      <xdr:colOff>590236</xdr:colOff>
      <xdr:row>12</xdr:row>
      <xdr:rowOff>40393</xdr:rowOff>
    </xdr:to>
    <xdr:graphicFrame macro="">
      <xdr:nvGraphicFramePr>
        <xdr:cNvPr id="30" name="圖表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617422</xdr:colOff>
      <xdr:row>11</xdr:row>
      <xdr:rowOff>178592</xdr:rowOff>
    </xdr:from>
    <xdr:to>
      <xdr:col>34</xdr:col>
      <xdr:colOff>614047</xdr:colOff>
      <xdr:row>24</xdr:row>
      <xdr:rowOff>14878</xdr:rowOff>
    </xdr:to>
    <xdr:graphicFrame macro="">
      <xdr:nvGraphicFramePr>
        <xdr:cNvPr id="31" name="圖表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0</xdr:colOff>
      <xdr:row>24</xdr:row>
      <xdr:rowOff>0</xdr:rowOff>
    </xdr:from>
    <xdr:to>
      <xdr:col>21</xdr:col>
      <xdr:colOff>472876</xdr:colOff>
      <xdr:row>36</xdr:row>
      <xdr:rowOff>54000</xdr:rowOff>
    </xdr:to>
    <xdr:graphicFrame macro="">
      <xdr:nvGraphicFramePr>
        <xdr:cNvPr id="32" name="圖表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0</xdr:colOff>
      <xdr:row>36</xdr:row>
      <xdr:rowOff>0</xdr:rowOff>
    </xdr:from>
    <xdr:to>
      <xdr:col>21</xdr:col>
      <xdr:colOff>472876</xdr:colOff>
      <xdr:row>48</xdr:row>
      <xdr:rowOff>54000</xdr:rowOff>
    </xdr:to>
    <xdr:graphicFrame macro="">
      <xdr:nvGraphicFramePr>
        <xdr:cNvPr id="33" name="圖表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476251</xdr:colOff>
      <xdr:row>24</xdr:row>
      <xdr:rowOff>0</xdr:rowOff>
    </xdr:from>
    <xdr:to>
      <xdr:col>28</xdr:col>
      <xdr:colOff>615752</xdr:colOff>
      <xdr:row>36</xdr:row>
      <xdr:rowOff>54000</xdr:rowOff>
    </xdr:to>
    <xdr:graphicFrame macro="">
      <xdr:nvGraphicFramePr>
        <xdr:cNvPr id="34" name="圖表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476251</xdr:colOff>
      <xdr:row>36</xdr:row>
      <xdr:rowOff>0</xdr:rowOff>
    </xdr:from>
    <xdr:to>
      <xdr:col>28</xdr:col>
      <xdr:colOff>615752</xdr:colOff>
      <xdr:row>48</xdr:row>
      <xdr:rowOff>54000</xdr:rowOff>
    </xdr:to>
    <xdr:graphicFrame macro="">
      <xdr:nvGraphicFramePr>
        <xdr:cNvPr id="35" name="圖表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28</xdr:col>
      <xdr:colOff>629328</xdr:colOff>
      <xdr:row>24</xdr:row>
      <xdr:rowOff>0</xdr:rowOff>
    </xdr:from>
    <xdr:to>
      <xdr:col>34</xdr:col>
      <xdr:colOff>625953</xdr:colOff>
      <xdr:row>36</xdr:row>
      <xdr:rowOff>54000</xdr:rowOff>
    </xdr:to>
    <xdr:graphicFrame macro="">
      <xdr:nvGraphicFramePr>
        <xdr:cNvPr id="36" name="圖表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28</xdr:col>
      <xdr:colOff>629328</xdr:colOff>
      <xdr:row>36</xdr:row>
      <xdr:rowOff>0</xdr:rowOff>
    </xdr:from>
    <xdr:to>
      <xdr:col>34</xdr:col>
      <xdr:colOff>625953</xdr:colOff>
      <xdr:row>48</xdr:row>
      <xdr:rowOff>54000</xdr:rowOff>
    </xdr:to>
    <xdr:graphicFrame macro="">
      <xdr:nvGraphicFramePr>
        <xdr:cNvPr id="37" name="圖表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-1</xdr:colOff>
      <xdr:row>0</xdr:row>
      <xdr:rowOff>0</xdr:rowOff>
    </xdr:from>
    <xdr:to>
      <xdr:col>23</xdr:col>
      <xdr:colOff>566061</xdr:colOff>
      <xdr:row>13</xdr:row>
      <xdr:rowOff>24450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-1</xdr:colOff>
      <xdr:row>13</xdr:row>
      <xdr:rowOff>-1</xdr:rowOff>
    </xdr:from>
    <xdr:to>
      <xdr:col>23</xdr:col>
      <xdr:colOff>566061</xdr:colOff>
      <xdr:row>26</xdr:row>
      <xdr:rowOff>43499</xdr:rowOff>
    </xdr:to>
    <xdr:graphicFrame macro="">
      <xdr:nvGraphicFramePr>
        <xdr:cNvPr id="56" name="圖表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-1</xdr:colOff>
      <xdr:row>26</xdr:row>
      <xdr:rowOff>-1</xdr:rowOff>
    </xdr:from>
    <xdr:to>
      <xdr:col>23</xdr:col>
      <xdr:colOff>566061</xdr:colOff>
      <xdr:row>39</xdr:row>
      <xdr:rowOff>43499</xdr:rowOff>
    </xdr:to>
    <xdr:graphicFrame macro="">
      <xdr:nvGraphicFramePr>
        <xdr:cNvPr id="59" name="圖表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-1</xdr:colOff>
      <xdr:row>39</xdr:row>
      <xdr:rowOff>0</xdr:rowOff>
    </xdr:from>
    <xdr:to>
      <xdr:col>23</xdr:col>
      <xdr:colOff>566061</xdr:colOff>
      <xdr:row>52</xdr:row>
      <xdr:rowOff>43500</xdr:rowOff>
    </xdr:to>
    <xdr:graphicFrame macro="">
      <xdr:nvGraphicFramePr>
        <xdr:cNvPr id="62" name="圖表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-1</xdr:colOff>
      <xdr:row>52</xdr:row>
      <xdr:rowOff>0</xdr:rowOff>
    </xdr:from>
    <xdr:to>
      <xdr:col>23</xdr:col>
      <xdr:colOff>566061</xdr:colOff>
      <xdr:row>65</xdr:row>
      <xdr:rowOff>43500</xdr:rowOff>
    </xdr:to>
    <xdr:graphicFrame macro="">
      <xdr:nvGraphicFramePr>
        <xdr:cNvPr id="65" name="圖表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0</xdr:colOff>
      <xdr:row>0</xdr:row>
      <xdr:rowOff>0</xdr:rowOff>
    </xdr:from>
    <xdr:to>
      <xdr:col>31</xdr:col>
      <xdr:colOff>566062</xdr:colOff>
      <xdr:row>13</xdr:row>
      <xdr:rowOff>24450</xdr:rowOff>
    </xdr:to>
    <xdr:graphicFrame macro="">
      <xdr:nvGraphicFramePr>
        <xdr:cNvPr id="37" name="圖表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0</xdr:colOff>
      <xdr:row>13</xdr:row>
      <xdr:rowOff>-1</xdr:rowOff>
    </xdr:from>
    <xdr:to>
      <xdr:col>31</xdr:col>
      <xdr:colOff>566062</xdr:colOff>
      <xdr:row>26</xdr:row>
      <xdr:rowOff>43499</xdr:rowOff>
    </xdr:to>
    <xdr:graphicFrame macro="">
      <xdr:nvGraphicFramePr>
        <xdr:cNvPr id="39" name="圖表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0</xdr:colOff>
      <xdr:row>26</xdr:row>
      <xdr:rowOff>-1</xdr:rowOff>
    </xdr:from>
    <xdr:to>
      <xdr:col>31</xdr:col>
      <xdr:colOff>566062</xdr:colOff>
      <xdr:row>39</xdr:row>
      <xdr:rowOff>43499</xdr:rowOff>
    </xdr:to>
    <xdr:graphicFrame macro="">
      <xdr:nvGraphicFramePr>
        <xdr:cNvPr id="41" name="圖表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0</xdr:colOff>
      <xdr:row>39</xdr:row>
      <xdr:rowOff>0</xdr:rowOff>
    </xdr:from>
    <xdr:to>
      <xdr:col>31</xdr:col>
      <xdr:colOff>566062</xdr:colOff>
      <xdr:row>52</xdr:row>
      <xdr:rowOff>43500</xdr:rowOff>
    </xdr:to>
    <xdr:graphicFrame macro="">
      <xdr:nvGraphicFramePr>
        <xdr:cNvPr id="43" name="圖表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0</xdr:colOff>
      <xdr:row>52</xdr:row>
      <xdr:rowOff>0</xdr:rowOff>
    </xdr:from>
    <xdr:to>
      <xdr:col>31</xdr:col>
      <xdr:colOff>566062</xdr:colOff>
      <xdr:row>65</xdr:row>
      <xdr:rowOff>43500</xdr:rowOff>
    </xdr:to>
    <xdr:graphicFrame macro="">
      <xdr:nvGraphicFramePr>
        <xdr:cNvPr id="45" name="圖表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0</xdr:colOff>
      <xdr:row>0</xdr:row>
      <xdr:rowOff>0</xdr:rowOff>
    </xdr:from>
    <xdr:to>
      <xdr:col>39</xdr:col>
      <xdr:colOff>566062</xdr:colOff>
      <xdr:row>13</xdr:row>
      <xdr:rowOff>24450</xdr:rowOff>
    </xdr:to>
    <xdr:graphicFrame macro="">
      <xdr:nvGraphicFramePr>
        <xdr:cNvPr id="47" name="圖表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0</xdr:colOff>
      <xdr:row>13</xdr:row>
      <xdr:rowOff>-1</xdr:rowOff>
    </xdr:from>
    <xdr:to>
      <xdr:col>39</xdr:col>
      <xdr:colOff>566062</xdr:colOff>
      <xdr:row>26</xdr:row>
      <xdr:rowOff>43499</xdr:rowOff>
    </xdr:to>
    <xdr:graphicFrame macro="">
      <xdr:nvGraphicFramePr>
        <xdr:cNvPr id="48" name="圖表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0</xdr:colOff>
      <xdr:row>26</xdr:row>
      <xdr:rowOff>-1</xdr:rowOff>
    </xdr:from>
    <xdr:to>
      <xdr:col>39</xdr:col>
      <xdr:colOff>566062</xdr:colOff>
      <xdr:row>39</xdr:row>
      <xdr:rowOff>43499</xdr:rowOff>
    </xdr:to>
    <xdr:graphicFrame macro="">
      <xdr:nvGraphicFramePr>
        <xdr:cNvPr id="49" name="圖表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32</xdr:col>
      <xdr:colOff>0</xdr:colOff>
      <xdr:row>39</xdr:row>
      <xdr:rowOff>0</xdr:rowOff>
    </xdr:from>
    <xdr:to>
      <xdr:col>39</xdr:col>
      <xdr:colOff>566062</xdr:colOff>
      <xdr:row>52</xdr:row>
      <xdr:rowOff>43500</xdr:rowOff>
    </xdr:to>
    <xdr:graphicFrame macro="">
      <xdr:nvGraphicFramePr>
        <xdr:cNvPr id="50" name="圖表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32</xdr:col>
      <xdr:colOff>0</xdr:colOff>
      <xdr:row>52</xdr:row>
      <xdr:rowOff>0</xdr:rowOff>
    </xdr:from>
    <xdr:to>
      <xdr:col>39</xdr:col>
      <xdr:colOff>566062</xdr:colOff>
      <xdr:row>65</xdr:row>
      <xdr:rowOff>43500</xdr:rowOff>
    </xdr:to>
    <xdr:graphicFrame macro="">
      <xdr:nvGraphicFramePr>
        <xdr:cNvPr id="51" name="圖表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17</xdr:col>
      <xdr:colOff>472966</xdr:colOff>
      <xdr:row>21</xdr:row>
      <xdr:rowOff>157655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590549</xdr:colOff>
      <xdr:row>3</xdr:row>
      <xdr:rowOff>123824</xdr:rowOff>
    </xdr:from>
    <xdr:to>
      <xdr:col>17</xdr:col>
      <xdr:colOff>333375</xdr:colOff>
      <xdr:row>19</xdr:row>
      <xdr:rowOff>85725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561975</xdr:colOff>
      <xdr:row>22</xdr:row>
      <xdr:rowOff>85725</xdr:rowOff>
    </xdr:from>
    <xdr:to>
      <xdr:col>17</xdr:col>
      <xdr:colOff>333375</xdr:colOff>
      <xdr:row>38</xdr:row>
      <xdr:rowOff>104775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pageSetUpPr autoPageBreaks="0"/>
  </sheetPr>
  <dimension ref="A1:Y108"/>
  <sheetViews>
    <sheetView zoomScale="85" zoomScaleNormal="85" workbookViewId="0">
      <selection activeCell="N10" sqref="N10:P10"/>
    </sheetView>
  </sheetViews>
  <sheetFormatPr defaultColWidth="9.625" defaultRowHeight="20.100000000000001" customHeight="1"/>
  <cols>
    <col min="1" max="1" width="18.375" style="2" bestFit="1" customWidth="1"/>
    <col min="2" max="2" width="9" style="2" bestFit="1" customWidth="1"/>
    <col min="3" max="3" width="1.625" style="2" customWidth="1"/>
    <col min="4" max="4" width="29.125" style="2" bestFit="1" customWidth="1"/>
    <col min="5" max="5" width="9.625" style="2" customWidth="1"/>
    <col min="6" max="7" width="9.625" style="2" bestFit="1" customWidth="1"/>
    <col min="8" max="8" width="1.625" style="2" customWidth="1"/>
    <col min="9" max="9" width="24.375" style="2" bestFit="1" customWidth="1"/>
    <col min="10" max="10" width="7.375" style="2" bestFit="1" customWidth="1"/>
    <col min="11" max="11" width="7.375" style="2" customWidth="1"/>
    <col min="12" max="12" width="1.625" style="2" customWidth="1"/>
    <col min="13" max="13" width="29" style="2" bestFit="1" customWidth="1"/>
    <col min="14" max="16" width="10.125" style="2" customWidth="1"/>
    <col min="17" max="17" width="1.625" style="2" customWidth="1"/>
    <col min="18" max="18" width="8.625" bestFit="1" customWidth="1"/>
    <col min="20" max="20" width="9.125" bestFit="1" customWidth="1"/>
    <col min="21" max="21" width="7" bestFit="1" customWidth="1"/>
    <col min="22" max="22" width="9.125" bestFit="1" customWidth="1"/>
    <col min="23" max="23" width="8.625" bestFit="1" customWidth="1"/>
    <col min="24" max="24" width="9.125" bestFit="1" customWidth="1"/>
    <col min="25" max="25" width="8.625" bestFit="1" customWidth="1"/>
    <col min="26" max="16384" width="9.625" style="2"/>
  </cols>
  <sheetData>
    <row r="1" spans="1:16" ht="20.100000000000001" customHeight="1" thickBot="1">
      <c r="A1" s="12" t="s">
        <v>13</v>
      </c>
      <c r="B1" s="98" t="s">
        <v>56</v>
      </c>
      <c r="D1" s="5" t="s">
        <v>20</v>
      </c>
      <c r="E1" s="126">
        <v>10000</v>
      </c>
      <c r="F1" s="127"/>
      <c r="G1" s="128"/>
      <c r="I1" s="12" t="s">
        <v>31</v>
      </c>
      <c r="J1" s="129" t="s">
        <v>53</v>
      </c>
      <c r="K1" s="130"/>
      <c r="M1" s="23"/>
      <c r="N1" s="7" t="s">
        <v>8</v>
      </c>
      <c r="O1" s="8" t="s">
        <v>14</v>
      </c>
      <c r="P1" s="9" t="s">
        <v>9</v>
      </c>
    </row>
    <row r="2" spans="1:16" ht="20.100000000000001" customHeight="1">
      <c r="A2" s="13" t="s">
        <v>2</v>
      </c>
      <c r="B2" s="94">
        <v>200</v>
      </c>
      <c r="D2" s="102" t="s">
        <v>107</v>
      </c>
      <c r="E2" s="40">
        <v>0.5</v>
      </c>
      <c r="F2" s="32">
        <v>0.5</v>
      </c>
      <c r="G2" s="33">
        <v>0.5</v>
      </c>
      <c r="I2" s="13" t="s">
        <v>32</v>
      </c>
      <c r="J2" s="99">
        <v>0.313</v>
      </c>
      <c r="K2" s="100">
        <v>0.32900000000000001</v>
      </c>
      <c r="M2" s="92" t="s">
        <v>78</v>
      </c>
      <c r="N2" s="95">
        <v>2000</v>
      </c>
      <c r="O2" s="24">
        <v>7000</v>
      </c>
      <c r="P2" s="26">
        <v>1000</v>
      </c>
    </row>
    <row r="3" spans="1:16" ht="20.100000000000001" customHeight="1">
      <c r="A3" s="13" t="s">
        <v>4</v>
      </c>
      <c r="B3" s="94">
        <v>1580</v>
      </c>
      <c r="D3" s="36" t="s">
        <v>51</v>
      </c>
      <c r="E3" s="123">
        <v>0.6</v>
      </c>
      <c r="F3" s="124"/>
      <c r="G3" s="125"/>
      <c r="I3" s="13" t="s">
        <v>33</v>
      </c>
      <c r="J3" s="20"/>
      <c r="K3" s="28" t="s">
        <v>90</v>
      </c>
      <c r="M3" s="93" t="s">
        <v>21</v>
      </c>
      <c r="N3" s="96"/>
      <c r="O3" s="25"/>
      <c r="P3" s="27"/>
    </row>
    <row r="4" spans="1:16" ht="20.100000000000001" customHeight="1">
      <c r="A4" s="13" t="s">
        <v>5</v>
      </c>
      <c r="B4" s="94">
        <v>890</v>
      </c>
      <c r="D4" s="36" t="s">
        <v>52</v>
      </c>
      <c r="E4" s="107">
        <v>1</v>
      </c>
      <c r="F4" s="108">
        <v>1</v>
      </c>
      <c r="G4" s="109">
        <v>1</v>
      </c>
      <c r="I4" s="13" t="s">
        <v>37</v>
      </c>
      <c r="J4" s="136">
        <v>2.15</v>
      </c>
      <c r="K4" s="137"/>
      <c r="M4" s="93" t="s">
        <v>64</v>
      </c>
      <c r="N4" s="96"/>
      <c r="O4" s="25"/>
      <c r="P4" s="27"/>
    </row>
    <row r="5" spans="1:16" ht="20.100000000000001" customHeight="1">
      <c r="A5" s="13" t="s">
        <v>26</v>
      </c>
      <c r="B5" s="94" t="s">
        <v>28</v>
      </c>
      <c r="D5" s="122" t="s">
        <v>27</v>
      </c>
      <c r="E5" s="110">
        <v>1</v>
      </c>
      <c r="F5" s="111">
        <v>1</v>
      </c>
      <c r="G5" s="112">
        <v>1</v>
      </c>
      <c r="I5" s="13" t="s">
        <v>34</v>
      </c>
      <c r="J5" s="21"/>
      <c r="K5" s="29" t="s">
        <v>91</v>
      </c>
      <c r="M5" s="93" t="s">
        <v>15</v>
      </c>
      <c r="N5" s="96"/>
      <c r="O5" s="25"/>
      <c r="P5" s="27"/>
    </row>
    <row r="6" spans="1:16" ht="20.100000000000001" customHeight="1">
      <c r="A6" s="13" t="s">
        <v>36</v>
      </c>
      <c r="B6" s="17">
        <f>IF(B5="Rectangle",B2*(B3^2+B4^2)^0.5*0.0001/2.54,B2*B3*0.0001/2.54)</f>
        <v>14.278914796818963</v>
      </c>
      <c r="D6" s="122"/>
      <c r="E6" s="103" t="s">
        <v>22</v>
      </c>
      <c r="F6" s="104" t="s">
        <v>22</v>
      </c>
      <c r="G6" s="105" t="s">
        <v>22</v>
      </c>
      <c r="I6" s="13" t="s">
        <v>38</v>
      </c>
      <c r="J6" s="138">
        <v>2.2999999999999998</v>
      </c>
      <c r="K6" s="139"/>
      <c r="M6" s="93" t="s">
        <v>16</v>
      </c>
      <c r="N6" s="119"/>
      <c r="O6" s="120"/>
      <c r="P6" s="121"/>
    </row>
    <row r="7" spans="1:16" ht="20.100000000000001" customHeight="1">
      <c r="A7" s="13" t="s">
        <v>25</v>
      </c>
      <c r="B7" s="16" t="str">
        <f>B3/GCD(B3,B4)&amp;":"&amp;B4/GCD(B3,B4)</f>
        <v>158:89</v>
      </c>
      <c r="D7" s="41" t="s">
        <v>74</v>
      </c>
      <c r="E7" s="106">
        <v>3</v>
      </c>
      <c r="F7" s="142" t="s">
        <v>60</v>
      </c>
      <c r="G7" s="143"/>
      <c r="I7" s="13" t="s">
        <v>39</v>
      </c>
      <c r="J7" s="22"/>
      <c r="K7" s="30" t="s">
        <v>92</v>
      </c>
      <c r="M7" s="93" t="s">
        <v>43</v>
      </c>
      <c r="N7" s="96"/>
      <c r="O7" s="25"/>
      <c r="P7" s="27"/>
    </row>
    <row r="8" spans="1:16" ht="20.100000000000001" customHeight="1" thickBot="1">
      <c r="A8" s="14" t="s">
        <v>24</v>
      </c>
      <c r="B8" s="31">
        <f>25400/B2</f>
        <v>127</v>
      </c>
      <c r="D8" s="35" t="s">
        <v>73</v>
      </c>
      <c r="E8" s="131">
        <v>2.2000000000000002</v>
      </c>
      <c r="F8" s="132"/>
      <c r="G8" s="133"/>
      <c r="I8" s="13" t="s">
        <v>40</v>
      </c>
      <c r="J8" s="140">
        <v>2.6</v>
      </c>
      <c r="K8" s="141"/>
      <c r="M8" s="93" t="s">
        <v>44</v>
      </c>
      <c r="N8" s="96"/>
      <c r="O8" s="25"/>
      <c r="P8" s="27"/>
    </row>
    <row r="9" spans="1:16" ht="20.100000000000001" customHeight="1" thickBot="1">
      <c r="A9" s="1"/>
      <c r="B9" s="1"/>
      <c r="I9" s="14" t="s">
        <v>35</v>
      </c>
      <c r="J9" s="134" t="s">
        <v>109</v>
      </c>
      <c r="K9" s="135"/>
      <c r="M9" s="101" t="s">
        <v>105</v>
      </c>
      <c r="N9" s="97"/>
      <c r="O9" s="90"/>
      <c r="P9" s="91"/>
    </row>
    <row r="10" spans="1:16" ht="20.100000000000001" customHeight="1" thickBot="1">
      <c r="A10" s="34"/>
      <c r="I10" s="89" t="s">
        <v>104</v>
      </c>
      <c r="J10" s="117">
        <v>256</v>
      </c>
      <c r="K10" s="118"/>
      <c r="M10" s="101" t="s">
        <v>106</v>
      </c>
      <c r="N10" s="114"/>
      <c r="O10" s="115"/>
      <c r="P10" s="116"/>
    </row>
    <row r="11" spans="1:16" ht="20.100000000000001" customHeight="1">
      <c r="A11" s="42"/>
      <c r="B11" s="37"/>
    </row>
    <row r="12" spans="1:16" ht="20.100000000000001" customHeight="1">
      <c r="A12" s="42"/>
      <c r="B12" s="37"/>
    </row>
    <row r="13" spans="1:16" ht="20.100000000000001" customHeight="1">
      <c r="A13" s="42"/>
      <c r="B13" s="37"/>
    </row>
    <row r="14" spans="1:16" ht="20.100000000000001" customHeight="1">
      <c r="A14" s="42"/>
      <c r="B14" s="37"/>
    </row>
    <row r="15" spans="1:16" ht="20.100000000000001" customHeight="1">
      <c r="A15" s="42"/>
      <c r="B15" s="37"/>
    </row>
    <row r="16" spans="1:16" ht="20.100000000000001" customHeight="1">
      <c r="A16" s="42"/>
      <c r="B16" s="37"/>
    </row>
    <row r="17" spans="1:4" ht="20.100000000000001" customHeight="1">
      <c r="A17" s="42"/>
      <c r="B17" s="37"/>
    </row>
    <row r="18" spans="1:4" ht="20.100000000000001" customHeight="1">
      <c r="A18" s="42"/>
      <c r="B18" s="37"/>
    </row>
    <row r="19" spans="1:4" ht="20.100000000000001" customHeight="1">
      <c r="A19" s="42"/>
      <c r="B19" s="37"/>
    </row>
    <row r="20" spans="1:4" ht="20.100000000000001" customHeight="1">
      <c r="A20" s="42"/>
      <c r="B20" s="37"/>
      <c r="D20" s="1"/>
    </row>
    <row r="21" spans="1:4" ht="20.100000000000001" customHeight="1">
      <c r="A21" s="42"/>
      <c r="B21" s="37"/>
      <c r="D21" s="1"/>
    </row>
    <row r="22" spans="1:4" ht="20.100000000000001" customHeight="1">
      <c r="A22" s="42"/>
      <c r="B22" s="37"/>
      <c r="D22" s="1"/>
    </row>
    <row r="23" spans="1:4" ht="20.100000000000001" customHeight="1">
      <c r="A23" s="42"/>
      <c r="B23" s="37"/>
    </row>
    <row r="24" spans="1:4" ht="20.100000000000001" customHeight="1">
      <c r="A24" s="42"/>
      <c r="B24" s="37"/>
    </row>
    <row r="25" spans="1:4" ht="20.100000000000001" customHeight="1">
      <c r="A25" s="42"/>
      <c r="B25" s="37"/>
    </row>
    <row r="26" spans="1:4" ht="20.100000000000001" customHeight="1">
      <c r="A26" s="42"/>
      <c r="B26" s="37"/>
    </row>
    <row r="27" spans="1:4" ht="20.100000000000001" customHeight="1">
      <c r="A27" s="37"/>
      <c r="B27" s="1"/>
      <c r="C27" s="1"/>
      <c r="D27" s="1"/>
    </row>
    <row r="28" spans="1:4" ht="20.100000000000001" customHeight="1">
      <c r="A28" s="37"/>
      <c r="B28" s="1"/>
      <c r="C28" s="1"/>
      <c r="D28" s="1"/>
    </row>
    <row r="29" spans="1:4" ht="20.100000000000001" customHeight="1">
      <c r="A29" s="37"/>
      <c r="B29" s="1"/>
      <c r="C29" s="1"/>
      <c r="D29" s="1"/>
    </row>
    <row r="30" spans="1:4" ht="20.100000000000001" customHeight="1">
      <c r="A30" s="37"/>
      <c r="B30" s="1"/>
      <c r="C30" s="1"/>
      <c r="D30" s="1"/>
    </row>
    <row r="31" spans="1:4" ht="20.100000000000001" customHeight="1">
      <c r="A31" s="37"/>
      <c r="B31" s="1"/>
      <c r="C31" s="1"/>
      <c r="D31" s="1"/>
    </row>
    <row r="32" spans="1:4" ht="20.100000000000001" customHeight="1">
      <c r="A32" s="37"/>
      <c r="B32" s="1"/>
      <c r="C32" s="1"/>
      <c r="D32" s="1"/>
    </row>
    <row r="33" spans="1:1" ht="20.100000000000001" customHeight="1">
      <c r="A33" s="37"/>
    </row>
    <row r="34" spans="1:1" ht="20.100000000000001" customHeight="1">
      <c r="A34" s="37"/>
    </row>
    <row r="35" spans="1:1" ht="20.100000000000001" customHeight="1">
      <c r="A35" s="37"/>
    </row>
    <row r="36" spans="1:1" ht="20.100000000000001" customHeight="1">
      <c r="A36" s="37"/>
    </row>
    <row r="37" spans="1:1" ht="20.100000000000001" customHeight="1">
      <c r="A37" s="37"/>
    </row>
    <row r="38" spans="1:1" ht="20.100000000000001" customHeight="1">
      <c r="A38" s="37"/>
    </row>
    <row r="39" spans="1:1" ht="20.100000000000001" customHeight="1">
      <c r="A39" s="37"/>
    </row>
    <row r="40" spans="1:1" ht="20.100000000000001" customHeight="1">
      <c r="A40" s="37"/>
    </row>
    <row r="41" spans="1:1" ht="20.100000000000001" customHeight="1">
      <c r="A41" s="37"/>
    </row>
    <row r="42" spans="1:1" ht="20.100000000000001" customHeight="1">
      <c r="A42" s="37"/>
    </row>
    <row r="43" spans="1:1" ht="20.100000000000001" customHeight="1">
      <c r="A43" s="37"/>
    </row>
    <row r="44" spans="1:1" ht="20.100000000000001" customHeight="1">
      <c r="A44" s="37"/>
    </row>
    <row r="45" spans="1:1" ht="20.100000000000001" customHeight="1">
      <c r="A45" s="37"/>
    </row>
    <row r="46" spans="1:1" ht="20.100000000000001" customHeight="1">
      <c r="A46" s="37"/>
    </row>
    <row r="47" spans="1:1" ht="20.100000000000001" customHeight="1">
      <c r="A47" s="37"/>
    </row>
    <row r="48" spans="1:1" ht="20.100000000000001" customHeight="1">
      <c r="A48" s="37"/>
    </row>
    <row r="49" spans="1:1" ht="20.100000000000001" customHeight="1">
      <c r="A49" s="37"/>
    </row>
    <row r="50" spans="1:1" ht="20.100000000000001" customHeight="1">
      <c r="A50" s="37"/>
    </row>
    <row r="51" spans="1:1" ht="20.100000000000001" customHeight="1">
      <c r="A51" s="37"/>
    </row>
    <row r="52" spans="1:1" ht="20.100000000000001" customHeight="1">
      <c r="A52" s="37"/>
    </row>
    <row r="53" spans="1:1" ht="20.100000000000001" customHeight="1">
      <c r="A53" s="37"/>
    </row>
    <row r="54" spans="1:1" ht="20.100000000000001" customHeight="1">
      <c r="A54" s="37"/>
    </row>
    <row r="55" spans="1:1" ht="20.100000000000001" customHeight="1">
      <c r="A55" s="37"/>
    </row>
    <row r="56" spans="1:1" ht="20.100000000000001" customHeight="1">
      <c r="A56" s="37"/>
    </row>
    <row r="57" spans="1:1" ht="20.100000000000001" customHeight="1">
      <c r="A57" s="37"/>
    </row>
    <row r="58" spans="1:1" ht="20.100000000000001" customHeight="1">
      <c r="A58" s="37"/>
    </row>
    <row r="59" spans="1:1" ht="20.100000000000001" customHeight="1">
      <c r="A59" s="37"/>
    </row>
    <row r="60" spans="1:1" ht="20.100000000000001" customHeight="1">
      <c r="A60" s="37"/>
    </row>
    <row r="61" spans="1:1" ht="20.100000000000001" customHeight="1">
      <c r="A61" s="37"/>
    </row>
    <row r="62" spans="1:1" ht="20.100000000000001" customHeight="1">
      <c r="A62" s="37"/>
    </row>
    <row r="63" spans="1:1" ht="20.100000000000001" customHeight="1">
      <c r="A63" s="37"/>
    </row>
    <row r="64" spans="1:1" ht="20.100000000000001" customHeight="1">
      <c r="A64" s="37"/>
    </row>
    <row r="65" spans="1:1" ht="20.100000000000001" customHeight="1">
      <c r="A65" s="37"/>
    </row>
    <row r="66" spans="1:1" ht="20.100000000000001" customHeight="1">
      <c r="A66" s="37"/>
    </row>
    <row r="67" spans="1:1" ht="20.100000000000001" customHeight="1">
      <c r="A67" s="37"/>
    </row>
    <row r="68" spans="1:1" ht="20.100000000000001" customHeight="1">
      <c r="A68" s="37"/>
    </row>
    <row r="69" spans="1:1" ht="20.100000000000001" customHeight="1">
      <c r="A69" s="37"/>
    </row>
    <row r="70" spans="1:1" ht="20.100000000000001" customHeight="1">
      <c r="A70" s="37"/>
    </row>
    <row r="71" spans="1:1" ht="20.100000000000001" customHeight="1">
      <c r="A71" s="37"/>
    </row>
    <row r="72" spans="1:1" ht="20.100000000000001" customHeight="1">
      <c r="A72" s="37"/>
    </row>
    <row r="73" spans="1:1" ht="20.100000000000001" customHeight="1">
      <c r="A73" s="37"/>
    </row>
    <row r="74" spans="1:1" ht="20.100000000000001" customHeight="1">
      <c r="A74" s="37"/>
    </row>
    <row r="75" spans="1:1" ht="20.100000000000001" customHeight="1">
      <c r="A75" s="37"/>
    </row>
    <row r="76" spans="1:1" ht="20.100000000000001" customHeight="1">
      <c r="A76" s="37"/>
    </row>
    <row r="77" spans="1:1" ht="20.100000000000001" customHeight="1">
      <c r="A77" s="37"/>
    </row>
    <row r="78" spans="1:1" ht="20.100000000000001" customHeight="1">
      <c r="A78" s="37"/>
    </row>
    <row r="79" spans="1:1" ht="20.100000000000001" customHeight="1">
      <c r="A79" s="37"/>
    </row>
    <row r="80" spans="1:1" ht="20.100000000000001" customHeight="1">
      <c r="A80" s="37"/>
    </row>
    <row r="81" spans="1:1" ht="20.100000000000001" customHeight="1">
      <c r="A81" s="37"/>
    </row>
    <row r="82" spans="1:1" ht="20.100000000000001" customHeight="1">
      <c r="A82" s="37"/>
    </row>
    <row r="83" spans="1:1" ht="20.100000000000001" customHeight="1">
      <c r="A83" s="37"/>
    </row>
    <row r="84" spans="1:1" ht="20.100000000000001" customHeight="1">
      <c r="A84" s="37"/>
    </row>
    <row r="85" spans="1:1" ht="20.100000000000001" customHeight="1">
      <c r="A85" s="37"/>
    </row>
    <row r="86" spans="1:1" ht="20.100000000000001" customHeight="1">
      <c r="A86" s="37"/>
    </row>
    <row r="87" spans="1:1" ht="20.100000000000001" customHeight="1">
      <c r="A87" s="37"/>
    </row>
    <row r="88" spans="1:1" ht="20.100000000000001" customHeight="1">
      <c r="A88" s="37"/>
    </row>
    <row r="89" spans="1:1" ht="20.100000000000001" customHeight="1">
      <c r="A89" s="37"/>
    </row>
    <row r="90" spans="1:1" ht="20.100000000000001" customHeight="1">
      <c r="A90" s="37"/>
    </row>
    <row r="91" spans="1:1" ht="20.100000000000001" customHeight="1">
      <c r="A91" s="37"/>
    </row>
    <row r="92" spans="1:1" ht="20.100000000000001" customHeight="1">
      <c r="A92" s="37"/>
    </row>
    <row r="93" spans="1:1" ht="20.100000000000001" customHeight="1">
      <c r="A93" s="37"/>
    </row>
    <row r="94" spans="1:1" ht="20.100000000000001" customHeight="1">
      <c r="A94" s="37"/>
    </row>
    <row r="95" spans="1:1" ht="20.100000000000001" customHeight="1">
      <c r="A95" s="37"/>
    </row>
    <row r="96" spans="1:1" ht="20.100000000000001" customHeight="1">
      <c r="A96" s="37"/>
    </row>
    <row r="97" spans="1:1" ht="20.100000000000001" customHeight="1">
      <c r="A97" s="37"/>
    </row>
    <row r="98" spans="1:1" ht="20.100000000000001" customHeight="1">
      <c r="A98" s="37"/>
    </row>
    <row r="99" spans="1:1" ht="20.100000000000001" customHeight="1">
      <c r="A99" s="37"/>
    </row>
    <row r="100" spans="1:1" ht="20.100000000000001" customHeight="1">
      <c r="A100" s="37"/>
    </row>
    <row r="101" spans="1:1" ht="20.100000000000001" customHeight="1">
      <c r="A101" s="37"/>
    </row>
    <row r="102" spans="1:1" ht="20.100000000000001" customHeight="1">
      <c r="A102" s="37"/>
    </row>
    <row r="103" spans="1:1" ht="20.100000000000001" customHeight="1">
      <c r="A103" s="37"/>
    </row>
    <row r="104" spans="1:1" ht="20.100000000000001" customHeight="1">
      <c r="A104" s="37"/>
    </row>
    <row r="105" spans="1:1" ht="20.100000000000001" customHeight="1">
      <c r="A105" s="37"/>
    </row>
    <row r="106" spans="1:1" ht="20.100000000000001" customHeight="1">
      <c r="A106" s="37"/>
    </row>
    <row r="107" spans="1:1" ht="20.100000000000001" customHeight="1">
      <c r="A107" s="37"/>
    </row>
    <row r="108" spans="1:1" ht="20.100000000000001" customHeight="1">
      <c r="A108" s="37"/>
    </row>
  </sheetData>
  <dataConsolidate>
    <dataRefs count="1">
      <dataRef ref="K1:K9" sheet="Menu"/>
    </dataRefs>
  </dataConsolidate>
  <mergeCells count="12">
    <mergeCell ref="J10:K10"/>
    <mergeCell ref="N6:P6"/>
    <mergeCell ref="D5:D6"/>
    <mergeCell ref="E3:G3"/>
    <mergeCell ref="E1:G1"/>
    <mergeCell ref="J1:K1"/>
    <mergeCell ref="E8:G8"/>
    <mergeCell ref="J9:K9"/>
    <mergeCell ref="J4:K4"/>
    <mergeCell ref="J6:K6"/>
    <mergeCell ref="J8:K8"/>
    <mergeCell ref="F7:G7"/>
  </mergeCells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OpenRed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10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OpenGreen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OpenBlue">
                <anchor moveWithCells="1" sizeWithCells="1">
                  <from>
                    <xdr:col>9</xdr:col>
                    <xdr:colOff>9525</xdr:colOff>
                    <xdr:row>6</xdr:row>
                    <xdr:rowOff>9525</xdr:rowOff>
                  </from>
                  <to>
                    <xdr:col>10</xdr:col>
                    <xdr:colOff>9525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7" name="Button 105">
              <controlPr defaultSize="0" print="0" autoFill="0" autoPict="0" macro="[0]!calculate">
                <anchor moveWithCells="1" sizeWithCells="1">
                  <from>
                    <xdr:col>12</xdr:col>
                    <xdr:colOff>28575</xdr:colOff>
                    <xdr:row>10</xdr:row>
                    <xdr:rowOff>247650</xdr:rowOff>
                  </from>
                  <to>
                    <xdr:col>16</xdr:col>
                    <xdr:colOff>0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0000000-0002-0000-0000-000000000000}">
          <x14:formula1>
            <xm:f>IF($B$3=$B$4,Menu!$A$1:$A$2,Menu!$A$1)</xm:f>
          </x14:formula1>
          <xm:sqref>B5</xm:sqref>
        </x14:dataValidation>
        <x14:dataValidation type="list" allowBlank="1" showInputMessage="1" showErrorMessage="1" xr:uid="{00000000-0002-0000-0000-000001000000}">
          <x14:formula1>
            <xm:f>IF($G$5=1,Menu!$B$1,Menu!$B$2:$B$3)</xm:f>
          </x14:formula1>
          <xm:sqref>G6</xm:sqref>
        </x14:dataValidation>
        <x14:dataValidation type="list" allowBlank="1" showInputMessage="1" showErrorMessage="1" xr:uid="{00000000-0002-0000-0000-000002000000}">
          <x14:formula1>
            <xm:f>Menu!$C$1:$C$2</xm:f>
          </x14:formula1>
          <xm:sqref>J1:K1</xm:sqref>
        </x14:dataValidation>
        <x14:dataValidation type="list" allowBlank="1" showInputMessage="1" showErrorMessage="1" xr:uid="{00000000-0002-0000-0000-000003000000}">
          <x14:formula1>
            <xm:f>Menu!$D$1:$D$4</xm:f>
          </x14:formula1>
          <xm:sqref>J9:K9</xm:sqref>
        </x14:dataValidation>
        <x14:dataValidation type="list" allowBlank="1" showInputMessage="1" showErrorMessage="1" xr:uid="{00000000-0002-0000-0000-000004000000}">
          <x14:formula1>
            <xm:f>IF($E$5=1,Menu!$B$1,Menu!$B$2:$B$3)</xm:f>
          </x14:formula1>
          <xm:sqref>E6</xm:sqref>
        </x14:dataValidation>
        <x14:dataValidation type="list" allowBlank="1" showInputMessage="1" showErrorMessage="1" xr:uid="{00000000-0002-0000-0000-000005000000}">
          <x14:formula1>
            <xm:f>IF($F$5=1,Menu!$B$1,Menu!$B$2:$B$3)</xm:f>
          </x14:formula1>
          <xm:sqref>F6</xm:sqref>
        </x14:dataValidation>
        <x14:dataValidation type="list" allowBlank="1" showInputMessage="1" showErrorMessage="1" xr:uid="{00000000-0002-0000-0000-000006000000}">
          <x14:formula1>
            <xm:f>Menu!$E$1:$E$4</xm:f>
          </x14:formula1>
          <xm:sqref>E7</xm:sqref>
        </x14:dataValidation>
        <x14:dataValidation type="list" allowBlank="1" showInputMessage="1" showErrorMessage="1" xr:uid="{00000000-0002-0000-0000-000007000000}">
          <x14:formula1>
            <xm:f>Menu!$I$1:$I$2</xm:f>
          </x14:formula1>
          <xm:sqref>D2</xm:sqref>
        </x14:dataValidation>
        <x14:dataValidation type="list" allowBlank="1" showInputMessage="1" showErrorMessage="1" xr:uid="{00000000-0002-0000-0000-000008000000}">
          <x14:formula1>
            <xm:f>Menu!$J$1:$J$6</xm:f>
          </x14:formula1>
          <xm:sqref>E8:G8</xm:sqref>
        </x14:dataValidation>
        <x14:dataValidation type="list" allowBlank="1" showInputMessage="1" showErrorMessage="1" xr:uid="{00000000-0002-0000-0000-000009000000}">
          <x14:formula1>
            <xm:f>CHOOSE(E7*2,Menu!H1,Menu!H1,Menu!H1,Menu!G1:G3,Menu!F1:F3,Menu!H1)</xm:f>
          </x14:formula1>
          <xm:sqref>F7:G7</xm:sqref>
        </x14:dataValidation>
        <x14:dataValidation type="list" allowBlank="1" showInputMessage="1" showErrorMessage="1" xr:uid="{3312DDA7-6EA7-4E71-A519-6C0E22DA3B87}">
          <x14:formula1>
            <xm:f>Menu!$K$1:$K$9</xm:f>
          </x14:formula1>
          <xm:sqref>J10:K10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1"/>
  <dimension ref="B2:V100"/>
  <sheetViews>
    <sheetView zoomScale="110" zoomScaleNormal="110" workbookViewId="0"/>
  </sheetViews>
  <sheetFormatPr defaultColWidth="8.875" defaultRowHeight="12"/>
  <cols>
    <col min="1" max="1" width="1.625" style="67" customWidth="1"/>
    <col min="2" max="2" width="8.125" style="70" bestFit="1" customWidth="1"/>
    <col min="3" max="4" width="6.25" style="67" bestFit="1" customWidth="1"/>
    <col min="5" max="5" width="1.625" style="67" customWidth="1"/>
    <col min="6" max="6" width="8.875" style="67"/>
    <col min="7" max="8" width="8.875" style="67" customWidth="1"/>
    <col min="9" max="12" width="8.875" style="67"/>
    <col min="13" max="13" width="1.625" style="67" customWidth="1"/>
    <col min="14" max="15" width="8.875" style="67" customWidth="1"/>
    <col min="16" max="16384" width="8.875" style="67"/>
  </cols>
  <sheetData>
    <row r="2" spans="2:8">
      <c r="B2" s="65" t="s">
        <v>45</v>
      </c>
      <c r="C2" s="66" t="s">
        <v>46</v>
      </c>
      <c r="D2" s="66" t="s">
        <v>47</v>
      </c>
      <c r="F2" s="70"/>
      <c r="G2" s="70" t="s">
        <v>93</v>
      </c>
      <c r="H2" s="70" t="s">
        <v>94</v>
      </c>
    </row>
    <row r="3" spans="2:8">
      <c r="B3" s="68" t="s">
        <v>0</v>
      </c>
      <c r="C3" s="69">
        <v>0.67</v>
      </c>
      <c r="D3" s="69">
        <v>0.33</v>
      </c>
      <c r="F3" s="144" t="s">
        <v>95</v>
      </c>
      <c r="G3" s="79">
        <f>C27-0.003</f>
        <v>0.69227114962932179</v>
      </c>
      <c r="H3" s="79">
        <f>D27-0.003</f>
        <v>0.30160663092842244</v>
      </c>
    </row>
    <row r="4" spans="2:8">
      <c r="B4" s="68" t="s">
        <v>1</v>
      </c>
      <c r="C4" s="69">
        <v>0.21</v>
      </c>
      <c r="D4" s="69">
        <v>0.71</v>
      </c>
      <c r="F4" s="144"/>
      <c r="G4" s="79">
        <f>C27+0.003</f>
        <v>0.6982711496293218</v>
      </c>
      <c r="H4" s="79">
        <f>D27+0.003</f>
        <v>0.30760663092842244</v>
      </c>
    </row>
    <row r="5" spans="2:8">
      <c r="B5" s="68" t="s">
        <v>3</v>
      </c>
      <c r="C5" s="69">
        <v>0.14000000000000001</v>
      </c>
      <c r="D5" s="69">
        <v>0.08</v>
      </c>
      <c r="F5" s="144" t="s">
        <v>96</v>
      </c>
      <c r="G5" s="79">
        <f>C28-0.003</f>
        <v>0.17886481444489577</v>
      </c>
      <c r="H5" s="79">
        <f>D28-0.003</f>
        <v>0.74769483771125111</v>
      </c>
    </row>
    <row r="6" spans="2:8">
      <c r="B6" s="68" t="s">
        <v>45</v>
      </c>
      <c r="C6" s="148" t="str">
        <f>IF(ABS(((C3*(D4-D5)+C4*(D5-D3)+C5*(D3-D4))/2) / (($C$3*($D$4-$D$5)+$C$4*($D$5-$D$3)+$C$5*($D$3-$D$4))/2))=1,"Ref.",ABS(((C3*(D4-D5)+C4*(D5-D3)+C5*(D3-D4))/2) / (($C$3*($D$4-$D$5)+$C$4*($D$5-$D$3)+$C$5*($D$3-$D$4))/2)))</f>
        <v>Ref.</v>
      </c>
      <c r="D6" s="148"/>
      <c r="F6" s="144"/>
      <c r="G6" s="79">
        <f>C28+0.003</f>
        <v>0.18486481444489578</v>
      </c>
      <c r="H6" s="79">
        <f>D28+0.003</f>
        <v>0.75369483771125112</v>
      </c>
    </row>
    <row r="7" spans="2:8">
      <c r="B7" s="68" t="str">
        <f>$B$10</f>
        <v>DCI P3</v>
      </c>
      <c r="C7" s="148">
        <f>IF(ABS(((C3*(D4-D5)+C4*(D5-D3)+C5*(D3-D4))/2) / (($C$11*($D$12-$D$13)+$C$12*($D$13-$D$11)+$C$13*($D$11-$D$12))/2))=1,"Ref.",ABS(((C3*(D4-D5)+C4*(D5-D3)+C5*(D3-D4))/2) / (($C$11*($D$12-$D$13)+$C$12*($D$13-$D$11)+$C$13*($D$11-$D$12))/2)))</f>
        <v>1.0407894736842107</v>
      </c>
      <c r="D7" s="148"/>
      <c r="F7" s="144" t="s">
        <v>97</v>
      </c>
      <c r="G7" s="79">
        <f>C29-0.003</f>
        <v>0.13456756863761068</v>
      </c>
      <c r="H7" s="79">
        <f>D29-0.003</f>
        <v>4.3044267422174674E-2</v>
      </c>
    </row>
    <row r="8" spans="2:8">
      <c r="B8" s="70" t="str">
        <f>$B$18</f>
        <v>Rec.2020</v>
      </c>
      <c r="C8" s="148">
        <f>IF(ABS(((C3*(D4-D5)+C4*(D5-D3)+C5*(D3-D4))/2) / (($C$19*($D$20-$D$21)+$C$20*($D$21-$D$19)+$C$21*($D$19-$D$20))/2))=1,"Ref.",ABS(((C3*(D4-D5)+C4*(D5-D3)+C5*(D3-D4))/2) / (($C$19*($D$20-$D$21)+$C$20*($D$21-$D$19)+$C$21*($D$19-$D$20))/2)))</f>
        <v>0.74669662263736858</v>
      </c>
      <c r="D8" s="148"/>
      <c r="F8" s="144"/>
      <c r="G8" s="79">
        <f>C29+0.003</f>
        <v>0.14056756863761069</v>
      </c>
      <c r="H8" s="79">
        <f>D29+0.003</f>
        <v>4.904426742217468E-2</v>
      </c>
    </row>
    <row r="10" spans="2:8">
      <c r="B10" s="65" t="s">
        <v>48</v>
      </c>
      <c r="C10" s="66" t="s">
        <v>49</v>
      </c>
      <c r="D10" s="66" t="s">
        <v>47</v>
      </c>
    </row>
    <row r="11" spans="2:8">
      <c r="B11" s="68" t="s">
        <v>0</v>
      </c>
      <c r="C11" s="69">
        <v>0.68</v>
      </c>
      <c r="D11" s="69">
        <v>0.32</v>
      </c>
    </row>
    <row r="12" spans="2:8">
      <c r="B12" s="68" t="s">
        <v>1</v>
      </c>
      <c r="C12" s="69">
        <v>0.26500000000000001</v>
      </c>
      <c r="D12" s="69">
        <v>0.69</v>
      </c>
    </row>
    <row r="13" spans="2:8">
      <c r="B13" s="68" t="s">
        <v>3</v>
      </c>
      <c r="C13" s="69">
        <v>0.15</v>
      </c>
      <c r="D13" s="69">
        <v>0.06</v>
      </c>
    </row>
    <row r="14" spans="2:8">
      <c r="B14" s="68" t="str">
        <f>$B$6</f>
        <v xml:space="preserve">NTSC </v>
      </c>
      <c r="C14" s="148">
        <f>IF(ABS(((C11*(D12-D13)+C12*(D13-D11)+C13*(D11-D12))/2) / (($C$3*($D$4-$D$5)+$C$4*($D$5-$D$3)+$C$5*($D$3-$D$4))/2))=1,"Ref.",ABS(((C11*(D12-D13)+C12*(D13-D11)+C13*(D11-D12))/2) / (($C$3*($D$4-$D$5)+$C$4*($D$5-$D$3)+$C$5*($D$3-$D$4))/2)))</f>
        <v>0.96080910240202255</v>
      </c>
      <c r="D14" s="148"/>
    </row>
    <row r="15" spans="2:8">
      <c r="B15" s="68" t="str">
        <f>$B$10</f>
        <v>DCI P3</v>
      </c>
      <c r="C15" s="148" t="str">
        <f>IF(ABS(((C11*(D12-D13)+C12*(D13-D11)+C13*(D11-D12))/2) / (($C$11*($D$12-$D$13)+$C$12*($D$13-$D$11)+$C$13*($D$11-$D$12))/2))=1,"Ref.",ABS(((C11*(D12-D13)+C12*(D13-D11)+C13*(D11-D12))/2) / (($C$11*($D$12-$D$13)+$C$12*($D$13-$D$11)+$C$13*($D$11-$D$12))/2)))</f>
        <v>Ref.</v>
      </c>
      <c r="D15" s="148"/>
    </row>
    <row r="16" spans="2:8">
      <c r="B16" s="70" t="str">
        <f>$B$18</f>
        <v>Rec.2020</v>
      </c>
      <c r="C16" s="148">
        <f>IF(ABS(((C11*(D12-D13)+C12*(D13-D11)+C13*(D11-D12))/2) / (($C$19*($D$20-$D$21)+$C$20*($D$21-$D$19)+$C$21*($D$19-$D$20))/2))=1,"Ref.",ABS(((C11*(D12-D13)+C12*(D13-D11)+C13*(D11-D12))/2) / (($C$19*($D$20-$D$21)+$C$20*($D$21-$D$19)+$C$21*($D$19-$D$20))/2)))</f>
        <v>0.71743291176283175</v>
      </c>
      <c r="D16" s="148"/>
    </row>
    <row r="18" spans="2:22">
      <c r="B18" s="65" t="s">
        <v>50</v>
      </c>
      <c r="C18" s="66" t="s">
        <v>46</v>
      </c>
      <c r="D18" s="66" t="s">
        <v>47</v>
      </c>
    </row>
    <row r="19" spans="2:22">
      <c r="B19" s="68" t="s">
        <v>0</v>
      </c>
      <c r="C19" s="69">
        <v>0.70799999999999996</v>
      </c>
      <c r="D19" s="69">
        <v>0.29199999999999998</v>
      </c>
    </row>
    <row r="20" spans="2:22">
      <c r="B20" s="68" t="s">
        <v>1</v>
      </c>
      <c r="C20" s="69">
        <v>0.17</v>
      </c>
      <c r="D20" s="69">
        <v>0.79700000000000004</v>
      </c>
    </row>
    <row r="21" spans="2:22">
      <c r="B21" s="68" t="s">
        <v>3</v>
      </c>
      <c r="C21" s="69">
        <v>0.13100000000000001</v>
      </c>
      <c r="D21" s="69">
        <v>4.5999999999999999E-2</v>
      </c>
    </row>
    <row r="22" spans="2:22">
      <c r="B22" s="68" t="str">
        <f>$B$6</f>
        <v xml:space="preserve">NTSC </v>
      </c>
      <c r="C22" s="145">
        <f>IF(ABS(((C19*(D20-D21)+C20*(D21-D19)+C21*(D19-D20))/2) / (($C$3*($D$4-$D$5)+$C$4*($D$5-$D$3)+$C$5*($D$3-$D$4))/2))=1,"Ref.",ABS(((C19*(D20-D21)+C20*(D21-D19)+C21*(D19-D20))/2) / (($C$3*($D$4-$D$5)+$C$4*($D$5-$D$3)+$C$5*($D$3-$D$4))/2)))</f>
        <v>1.3392319848293297</v>
      </c>
      <c r="D22" s="146"/>
      <c r="Q22" s="71"/>
      <c r="R22" s="71"/>
      <c r="S22" s="71"/>
      <c r="T22" s="71"/>
      <c r="U22" s="71"/>
      <c r="V22" s="71"/>
    </row>
    <row r="23" spans="2:22">
      <c r="B23" s="68" t="str">
        <f>$B$10</f>
        <v>DCI P3</v>
      </c>
      <c r="C23" s="147">
        <f>IF(ABS(((C19*(D20-D21)+C20*(D21-D19)+C21*(D19-D20))/2) / (($C$11*($D$12-$D$13)+$C$12*($D$13-$D$11)+$C$13*($D$11-$D$12))/2))=1,"Ref.",ABS(((C19*(D20-D21)+C20*(D21-D19)+C21*(D19-D20))/2) / (($C$11*($D$12-$D$13)+$C$12*($D$13-$D$11)+$C$13*($D$11-$D$12))/2)))</f>
        <v>1.393858552631579</v>
      </c>
      <c r="D23" s="147"/>
      <c r="Q23" s="71"/>
      <c r="R23" s="71"/>
      <c r="S23" s="71"/>
      <c r="T23" s="71"/>
      <c r="U23" s="71"/>
      <c r="V23" s="71"/>
    </row>
    <row r="24" spans="2:22">
      <c r="B24" s="70" t="str">
        <f>$B$18</f>
        <v>Rec.2020</v>
      </c>
      <c r="C24" s="147" t="str">
        <f>IF(ABS(((C19*(D20-D21)+C20*(D21-D19)+C21*(D19-D20))/2) / (($C$19*($D$20-$D$21)+$C$20*($D$21-$D$19)+$C$21*($D$19-$D$20))/2))=1,"Ref.",ABS(((C19*(D20-D21)+C20*(D21-D19)+C21*(D19-D20))/2) / (($C$19*($D$20-$D$21)+$C$20*($D$21-$D$19)+$C$21*($D$19-$D$20))/2)))</f>
        <v>Ref.</v>
      </c>
      <c r="D24" s="147"/>
      <c r="Q24" s="71"/>
      <c r="R24" s="71"/>
      <c r="S24" s="71"/>
      <c r="T24" s="71"/>
      <c r="U24" s="71"/>
      <c r="V24" s="71"/>
    </row>
    <row r="25" spans="2:22">
      <c r="Q25" s="71"/>
      <c r="R25" s="71"/>
      <c r="S25" s="71"/>
      <c r="T25" s="71"/>
      <c r="U25" s="71"/>
      <c r="V25" s="71"/>
    </row>
    <row r="26" spans="2:22">
      <c r="B26" s="65" t="str">
        <f>HaHa!B1</f>
        <v>X098</v>
      </c>
      <c r="C26" s="66" t="s">
        <v>46</v>
      </c>
      <c r="D26" s="66" t="s">
        <v>47</v>
      </c>
      <c r="N26" s="71"/>
      <c r="O26" s="71"/>
    </row>
    <row r="27" spans="2:22">
      <c r="B27" s="68" t="s">
        <v>0</v>
      </c>
      <c r="C27" s="69">
        <v>0.69527114962932179</v>
      </c>
      <c r="D27" s="69">
        <v>0.30460663092842244</v>
      </c>
      <c r="N27" s="71"/>
      <c r="O27" s="71"/>
    </row>
    <row r="28" spans="2:22">
      <c r="B28" s="68" t="s">
        <v>1</v>
      </c>
      <c r="C28" s="69">
        <v>0.18186481444489577</v>
      </c>
      <c r="D28" s="69">
        <v>0.75069483771125112</v>
      </c>
      <c r="N28" s="71"/>
      <c r="O28" s="71"/>
    </row>
    <row r="29" spans="2:22">
      <c r="B29" s="68" t="s">
        <v>3</v>
      </c>
      <c r="C29" s="69">
        <v>0.13756756863761069</v>
      </c>
      <c r="D29" s="69">
        <v>4.6044267422174677E-2</v>
      </c>
      <c r="N29" s="71"/>
      <c r="O29" s="71"/>
    </row>
    <row r="30" spans="2:22">
      <c r="B30" s="68" t="str">
        <f>$B$6</f>
        <v xml:space="preserve">NTSC </v>
      </c>
      <c r="C30" s="145">
        <f>IF(ABS(((C27*(D28-D29)+C28*(D29-D27)+C29*(D27-D28))/2) / (($C$3*($D$4-$D$5)+$C$4*($D$5-$D$3)+$C$5*($D$3-$D$4))/2))=1,"Ref.",ABS(((C27*(D28-D29)+C28*(D29-D27)+C29*(D27-D28))/2) / (($C$3*($D$4-$D$5)+$C$4*($D$5-$D$3)+$C$5*($D$3-$D$4))/2)))</f>
        <v>1.2058550753012658</v>
      </c>
      <c r="D30" s="146"/>
      <c r="N30" s="71"/>
      <c r="O30" s="71"/>
    </row>
    <row r="31" spans="2:22">
      <c r="B31" s="68" t="str">
        <f>$B$10</f>
        <v>DCI P3</v>
      </c>
      <c r="C31" s="147">
        <f>IF(ABS(((C27*(D28-D29)+C28*(D29-D27)+C29*(D27-D28))/2) / (($C$11*($D$12-$D$13)+$C$12*($D$13-$D$11)+$C$13*($D$11-$D$12))/2))=1,"Ref.",ABS(((C27*(D28-D29)+C28*(D29-D27)+C29*(D27-D28))/2) / (($C$11*($D$12-$D$13)+$C$12*($D$13-$D$11)+$C$13*($D$11-$D$12))/2)))</f>
        <v>1.2550412691622386</v>
      </c>
      <c r="D31" s="147"/>
      <c r="N31" s="71"/>
      <c r="O31" s="71"/>
    </row>
    <row r="32" spans="2:22">
      <c r="B32" s="70" t="str">
        <f>$B$18</f>
        <v>Rec.2020</v>
      </c>
      <c r="C32" s="147">
        <f>IF(ABS(((C27*(D28-D29)+C28*(D29-D27)+C29*(D27-D28))/2) / (($C$19*($D$20-$D$21)+$C$20*($D$21-$D$19)+$C$21*($D$19-$D$20))/2))=1,"Ref.",ABS(((C27*(D28-D29)+C28*(D29-D27)+C29*(D27-D28))/2) / (($C$19*($D$20-$D$21)+$C$20*($D$21-$D$19)+$C$21*($D$19-$D$20))/2)))</f>
        <v>0.90040791211758475</v>
      </c>
      <c r="D32" s="147"/>
      <c r="N32" s="71"/>
      <c r="O32" s="71"/>
    </row>
    <row r="34" spans="2:2">
      <c r="B34" s="67"/>
    </row>
    <row r="35" spans="2:2">
      <c r="B35" s="67"/>
    </row>
    <row r="36" spans="2:2">
      <c r="B36" s="67"/>
    </row>
    <row r="37" spans="2:2">
      <c r="B37" s="67"/>
    </row>
    <row r="38" spans="2:2">
      <c r="B38" s="67"/>
    </row>
    <row r="39" spans="2:2">
      <c r="B39" s="67"/>
    </row>
    <row r="40" spans="2:2">
      <c r="B40" s="67"/>
    </row>
    <row r="41" spans="2:2">
      <c r="B41" s="67"/>
    </row>
    <row r="42" spans="2:2">
      <c r="B42" s="67"/>
    </row>
    <row r="43" spans="2:2">
      <c r="B43" s="67"/>
    </row>
    <row r="44" spans="2:2">
      <c r="B44" s="67"/>
    </row>
    <row r="45" spans="2:2">
      <c r="B45" s="67"/>
    </row>
    <row r="46" spans="2:2">
      <c r="B46" s="67"/>
    </row>
    <row r="47" spans="2:2">
      <c r="B47" s="67"/>
    </row>
    <row r="48" spans="2:2">
      <c r="B48" s="67"/>
    </row>
    <row r="49" spans="2:2">
      <c r="B49" s="67"/>
    </row>
    <row r="50" spans="2:2">
      <c r="B50" s="67"/>
    </row>
    <row r="51" spans="2:2">
      <c r="B51" s="67"/>
    </row>
    <row r="52" spans="2:2">
      <c r="B52" s="67"/>
    </row>
    <row r="53" spans="2:2">
      <c r="B53" s="67"/>
    </row>
    <row r="54" spans="2:2">
      <c r="B54" s="67"/>
    </row>
    <row r="55" spans="2:2">
      <c r="B55" s="67"/>
    </row>
    <row r="56" spans="2:2">
      <c r="B56" s="67"/>
    </row>
    <row r="57" spans="2:2">
      <c r="B57" s="67"/>
    </row>
    <row r="58" spans="2:2">
      <c r="B58" s="67"/>
    </row>
    <row r="59" spans="2:2">
      <c r="B59" s="67"/>
    </row>
    <row r="60" spans="2:2">
      <c r="B60" s="67"/>
    </row>
    <row r="61" spans="2:2">
      <c r="B61" s="67"/>
    </row>
    <row r="62" spans="2:2">
      <c r="B62" s="67"/>
    </row>
    <row r="63" spans="2:2">
      <c r="B63" s="67"/>
    </row>
    <row r="64" spans="2:2">
      <c r="B64" s="67"/>
    </row>
    <row r="65" spans="2:2">
      <c r="B65" s="67"/>
    </row>
    <row r="66" spans="2:2">
      <c r="B66" s="67"/>
    </row>
    <row r="67" spans="2:2">
      <c r="B67" s="67"/>
    </row>
    <row r="68" spans="2:2">
      <c r="B68" s="67"/>
    </row>
    <row r="69" spans="2:2">
      <c r="B69" s="67"/>
    </row>
    <row r="70" spans="2:2">
      <c r="B70" s="67"/>
    </row>
    <row r="71" spans="2:2">
      <c r="B71" s="67"/>
    </row>
    <row r="72" spans="2:2">
      <c r="B72" s="67"/>
    </row>
    <row r="73" spans="2:2">
      <c r="B73" s="67"/>
    </row>
    <row r="74" spans="2:2">
      <c r="B74" s="67"/>
    </row>
    <row r="75" spans="2:2">
      <c r="B75" s="67"/>
    </row>
    <row r="76" spans="2:2">
      <c r="B76" s="67"/>
    </row>
    <row r="77" spans="2:2">
      <c r="B77" s="67"/>
    </row>
    <row r="78" spans="2:2">
      <c r="B78" s="67"/>
    </row>
    <row r="79" spans="2:2">
      <c r="B79" s="67"/>
    </row>
    <row r="80" spans="2:2">
      <c r="B80" s="67"/>
    </row>
    <row r="81" spans="2:2">
      <c r="B81" s="67"/>
    </row>
    <row r="82" spans="2:2">
      <c r="B82" s="67"/>
    </row>
    <row r="83" spans="2:2">
      <c r="B83" s="67"/>
    </row>
    <row r="84" spans="2:2">
      <c r="B84" s="67"/>
    </row>
    <row r="85" spans="2:2">
      <c r="B85" s="67"/>
    </row>
    <row r="86" spans="2:2">
      <c r="B86" s="67"/>
    </row>
    <row r="87" spans="2:2">
      <c r="B87" s="67"/>
    </row>
    <row r="88" spans="2:2">
      <c r="B88" s="67"/>
    </row>
    <row r="89" spans="2:2">
      <c r="B89" s="67"/>
    </row>
    <row r="90" spans="2:2">
      <c r="B90" s="67"/>
    </row>
    <row r="91" spans="2:2">
      <c r="B91" s="67"/>
    </row>
    <row r="92" spans="2:2">
      <c r="B92" s="67"/>
    </row>
    <row r="93" spans="2:2">
      <c r="B93" s="67"/>
    </row>
    <row r="94" spans="2:2">
      <c r="B94" s="67"/>
    </row>
    <row r="95" spans="2:2">
      <c r="B95" s="67"/>
    </row>
    <row r="96" spans="2:2">
      <c r="B96" s="67"/>
    </row>
    <row r="97" spans="2:2">
      <c r="B97" s="67"/>
    </row>
    <row r="98" spans="2:2">
      <c r="B98" s="67"/>
    </row>
    <row r="99" spans="2:2">
      <c r="B99" s="67"/>
    </row>
    <row r="100" spans="2:2">
      <c r="B100" s="67"/>
    </row>
  </sheetData>
  <mergeCells count="15">
    <mergeCell ref="C32:D32"/>
    <mergeCell ref="C22:D22"/>
    <mergeCell ref="C23:D23"/>
    <mergeCell ref="C24:D24"/>
    <mergeCell ref="C14:D14"/>
    <mergeCell ref="C15:D15"/>
    <mergeCell ref="C16:D16"/>
    <mergeCell ref="F3:F4"/>
    <mergeCell ref="F5:F6"/>
    <mergeCell ref="F7:F8"/>
    <mergeCell ref="C30:D30"/>
    <mergeCell ref="C31:D31"/>
    <mergeCell ref="C6:D6"/>
    <mergeCell ref="C7:D7"/>
    <mergeCell ref="C8:D8"/>
  </mergeCells>
  <phoneticPr fontId="3" type="noConversion"/>
  <pageMargins left="0.75" right="0.75" top="1" bottom="1" header="0.5" footer="0.5"/>
  <pageSetup paperSize="9" orientation="portrait" r:id="rId1"/>
  <headerFooter alignWithMargins="0">
    <oddHeader>&amp;R&amp;B&amp;"Gill Sans MT"&amp;10&amp;K808080​‌Classify:AUO-General‌​</oddHeader>
    <oddFooter>&amp;R&amp;B&amp;"Gill Sans MT"&amp;10&amp;K808080​‌Classify:AUO-General‌​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3"/>
  <dimension ref="A1:Z52"/>
  <sheetViews>
    <sheetView zoomScale="80" zoomScaleNormal="80" workbookViewId="0">
      <selection activeCell="G26" sqref="G26"/>
    </sheetView>
  </sheetViews>
  <sheetFormatPr defaultColWidth="9" defaultRowHeight="15"/>
  <cols>
    <col min="1" max="1" width="12" style="2" bestFit="1" customWidth="1"/>
    <col min="2" max="2" width="6.875" style="2" bestFit="1" customWidth="1"/>
    <col min="3" max="3" width="8.75" style="2" bestFit="1" customWidth="1"/>
    <col min="4" max="4" width="8.375" style="2" bestFit="1" customWidth="1"/>
    <col min="5" max="5" width="8" style="2" bestFit="1" customWidth="1"/>
    <col min="6" max="6" width="6.875" style="2" bestFit="1" customWidth="1"/>
    <col min="7" max="7" width="8.75" style="2" bestFit="1" customWidth="1"/>
    <col min="8" max="8" width="8.375" style="2" bestFit="1" customWidth="1"/>
    <col min="9" max="9" width="6.875" style="2" bestFit="1" customWidth="1"/>
    <col min="10" max="10" width="6.5" style="2" bestFit="1" customWidth="1"/>
    <col min="11" max="11" width="8.75" style="2" bestFit="1" customWidth="1"/>
    <col min="12" max="12" width="8.375" style="2" bestFit="1" customWidth="1"/>
    <col min="13" max="13" width="6.875" style="2" customWidth="1"/>
    <col min="14" max="14" width="7.625" style="2" customWidth="1"/>
    <col min="15" max="26" width="6.875" style="2" bestFit="1" customWidth="1"/>
    <col min="27" max="16384" width="9" style="2"/>
  </cols>
  <sheetData>
    <row r="1" spans="1:23" ht="15.75">
      <c r="A1" s="61" t="s">
        <v>82</v>
      </c>
      <c r="B1" s="43" t="s">
        <v>75</v>
      </c>
      <c r="C1" s="43" t="s">
        <v>76</v>
      </c>
      <c r="D1" s="44" t="s">
        <v>75</v>
      </c>
      <c r="E1" s="44" t="s">
        <v>76</v>
      </c>
      <c r="F1" s="45" t="s">
        <v>77</v>
      </c>
      <c r="G1" s="45" t="s">
        <v>76</v>
      </c>
      <c r="H1" s="45"/>
      <c r="I1" s="45"/>
      <c r="J1" s="45"/>
      <c r="K1" s="45"/>
      <c r="L1" s="43" t="s">
        <v>87</v>
      </c>
      <c r="M1" s="43" t="s">
        <v>88</v>
      </c>
      <c r="N1" s="43" t="s">
        <v>87</v>
      </c>
      <c r="O1" s="43" t="s">
        <v>88</v>
      </c>
      <c r="P1" s="44" t="s">
        <v>87</v>
      </c>
      <c r="Q1" s="44" t="s">
        <v>88</v>
      </c>
      <c r="R1" s="44" t="s">
        <v>87</v>
      </c>
      <c r="S1" s="44" t="s">
        <v>88</v>
      </c>
      <c r="T1" s="45" t="s">
        <v>87</v>
      </c>
      <c r="U1" s="45" t="s">
        <v>88</v>
      </c>
      <c r="V1" s="45" t="s">
        <v>87</v>
      </c>
      <c r="W1" s="45" t="s">
        <v>88</v>
      </c>
    </row>
    <row r="2" spans="1:23">
      <c r="A2" s="2">
        <v>16</v>
      </c>
      <c r="B2" s="57"/>
      <c r="C2" s="57"/>
      <c r="D2" s="58"/>
      <c r="E2" s="58"/>
      <c r="F2" s="59"/>
      <c r="G2" s="59"/>
      <c r="H2" s="59"/>
      <c r="I2" s="59"/>
      <c r="J2" s="59"/>
      <c r="K2" s="59"/>
      <c r="L2" s="57">
        <v>0.70162329621809594</v>
      </c>
      <c r="M2" s="57">
        <v>0.69562329621809593</v>
      </c>
      <c r="N2" s="57">
        <v>0.3042692481994953</v>
      </c>
      <c r="O2" s="57">
        <v>0.30177511329098988</v>
      </c>
      <c r="P2" s="58">
        <v>0.19633939467425854</v>
      </c>
      <c r="Q2" s="58">
        <v>0.19033939467425853</v>
      </c>
      <c r="R2" s="58">
        <v>0.75362358196963009</v>
      </c>
      <c r="S2" s="58">
        <v>0.74762358196963008</v>
      </c>
      <c r="T2" s="59">
        <v>0.14098707917453837</v>
      </c>
      <c r="U2" s="59">
        <v>0.13498707917453837</v>
      </c>
      <c r="V2" s="59">
        <v>4.6641263965510792E-2</v>
      </c>
      <c r="W2" s="59">
        <v>4.0641263965510786E-2</v>
      </c>
    </row>
    <row r="3" spans="1:23">
      <c r="A3" s="2">
        <v>32</v>
      </c>
      <c r="B3" s="57"/>
      <c r="C3" s="57"/>
      <c r="D3" s="58"/>
      <c r="E3" s="58"/>
      <c r="F3" s="59"/>
      <c r="G3" s="59"/>
      <c r="H3" s="59"/>
      <c r="I3" s="59"/>
      <c r="J3" s="59"/>
      <c r="K3" s="59"/>
      <c r="L3" s="57">
        <v>0.70162329621809594</v>
      </c>
      <c r="M3" s="57">
        <v>0.69562329621809593</v>
      </c>
      <c r="N3" s="57">
        <v>0.3042692481994953</v>
      </c>
      <c r="O3" s="57">
        <v>0.30177511329098988</v>
      </c>
      <c r="P3" s="58">
        <v>0.19633939467425854</v>
      </c>
      <c r="Q3" s="58">
        <v>0.19033939467425853</v>
      </c>
      <c r="R3" s="58">
        <v>0.75362358196963009</v>
      </c>
      <c r="S3" s="58">
        <v>0.74762358196963008</v>
      </c>
      <c r="T3" s="59">
        <v>0.14098707917453837</v>
      </c>
      <c r="U3" s="59">
        <v>0.13498707917453837</v>
      </c>
      <c r="V3" s="59">
        <v>4.6641263965510792E-2</v>
      </c>
      <c r="W3" s="59">
        <v>4.0641263965510786E-2</v>
      </c>
    </row>
    <row r="4" spans="1:23">
      <c r="A4" s="2">
        <v>48</v>
      </c>
      <c r="B4" s="57"/>
      <c r="C4" s="57"/>
      <c r="D4" s="58"/>
      <c r="E4" s="58"/>
      <c r="F4" s="59"/>
      <c r="G4" s="59"/>
      <c r="H4" s="59"/>
      <c r="I4" s="59"/>
      <c r="J4" s="59"/>
      <c r="K4" s="59"/>
      <c r="L4" s="57">
        <v>0.70162329621809594</v>
      </c>
      <c r="M4" s="57">
        <v>0.69562329621809593</v>
      </c>
      <c r="N4" s="57">
        <v>0.3042692481994953</v>
      </c>
      <c r="O4" s="57">
        <v>0.30177511329098988</v>
      </c>
      <c r="P4" s="58">
        <v>0.19633939467425854</v>
      </c>
      <c r="Q4" s="58">
        <v>0.19033939467425853</v>
      </c>
      <c r="R4" s="58">
        <v>0.75362358196963009</v>
      </c>
      <c r="S4" s="58">
        <v>0.74762358196963008</v>
      </c>
      <c r="T4" s="59">
        <v>0.14098707917453837</v>
      </c>
      <c r="U4" s="59">
        <v>0.13498707917453837</v>
      </c>
      <c r="V4" s="59">
        <v>4.6641263965510792E-2</v>
      </c>
      <c r="W4" s="59">
        <v>4.0641263965510786E-2</v>
      </c>
    </row>
    <row r="5" spans="1:23">
      <c r="A5" s="2">
        <v>64</v>
      </c>
      <c r="B5" s="57"/>
      <c r="C5" s="57"/>
      <c r="D5" s="58"/>
      <c r="E5" s="58"/>
      <c r="F5" s="59"/>
      <c r="G5" s="59"/>
      <c r="H5" s="59"/>
      <c r="I5" s="59"/>
      <c r="J5" s="59"/>
      <c r="K5" s="59"/>
      <c r="L5" s="57">
        <v>0.70162329621809594</v>
      </c>
      <c r="M5" s="57">
        <v>0.69562329621809593</v>
      </c>
      <c r="N5" s="57">
        <v>0.3042692481994953</v>
      </c>
      <c r="O5" s="57">
        <v>0.30177511329098988</v>
      </c>
      <c r="P5" s="58">
        <v>0.19633939467425854</v>
      </c>
      <c r="Q5" s="58">
        <v>0.19033939467425853</v>
      </c>
      <c r="R5" s="58">
        <v>0.75362358196963009</v>
      </c>
      <c r="S5" s="58">
        <v>0.74762358196963008</v>
      </c>
      <c r="T5" s="59">
        <v>0.14098707917453837</v>
      </c>
      <c r="U5" s="59">
        <v>0.13498707917453837</v>
      </c>
      <c r="V5" s="59">
        <v>4.6641263965510792E-2</v>
      </c>
      <c r="W5" s="59">
        <v>4.0641263965510786E-2</v>
      </c>
    </row>
    <row r="6" spans="1:23">
      <c r="A6" s="2">
        <v>80</v>
      </c>
      <c r="B6" s="57"/>
      <c r="C6" s="57"/>
      <c r="D6" s="58"/>
      <c r="E6" s="58"/>
      <c r="F6" s="59"/>
      <c r="G6" s="59"/>
      <c r="H6" s="59"/>
      <c r="I6" s="59"/>
      <c r="J6" s="59"/>
      <c r="K6" s="59"/>
      <c r="L6" s="57">
        <v>0.70162329621809594</v>
      </c>
      <c r="M6" s="57">
        <v>0.69562329621809593</v>
      </c>
      <c r="N6" s="57">
        <v>0.3042692481994953</v>
      </c>
      <c r="O6" s="57">
        <v>0.30177511329098988</v>
      </c>
      <c r="P6" s="58">
        <v>0.19633939467425854</v>
      </c>
      <c r="Q6" s="58">
        <v>0.19033939467425853</v>
      </c>
      <c r="R6" s="58">
        <v>0.75362358196963009</v>
      </c>
      <c r="S6" s="58">
        <v>0.74762358196963008</v>
      </c>
      <c r="T6" s="59">
        <v>0.14098707917453837</v>
      </c>
      <c r="U6" s="59">
        <v>0.13498707917453837</v>
      </c>
      <c r="V6" s="59">
        <v>4.6641263965510792E-2</v>
      </c>
      <c r="W6" s="59">
        <v>4.0641263965510786E-2</v>
      </c>
    </row>
    <row r="7" spans="1:23">
      <c r="A7" s="2">
        <v>96</v>
      </c>
      <c r="B7" s="57"/>
      <c r="C7" s="57"/>
      <c r="D7" s="58"/>
      <c r="E7" s="58"/>
      <c r="F7" s="59"/>
      <c r="G7" s="59"/>
      <c r="H7" s="59"/>
      <c r="I7" s="59"/>
      <c r="J7" s="59"/>
      <c r="K7" s="59"/>
      <c r="L7" s="57">
        <v>0.70162329621809594</v>
      </c>
      <c r="M7" s="57">
        <v>0.69562329621809593</v>
      </c>
      <c r="N7" s="57">
        <v>0.3042692481994953</v>
      </c>
      <c r="O7" s="57">
        <v>106.38</v>
      </c>
      <c r="P7" s="58">
        <v>71.12</v>
      </c>
      <c r="Q7" s="58">
        <v>0.19033939467425853</v>
      </c>
      <c r="R7" s="58">
        <v>0.75362358196963009</v>
      </c>
      <c r="S7" s="58">
        <v>0.74762358196963008</v>
      </c>
      <c r="T7" s="59">
        <v>0.14098707917453837</v>
      </c>
      <c r="U7" s="59">
        <v>0.13498707917453837</v>
      </c>
      <c r="V7" s="59">
        <v>4.6641263965510792E-2</v>
      </c>
      <c r="W7" s="59">
        <v>4.0641263965510786E-2</v>
      </c>
    </row>
    <row r="8" spans="1:23">
      <c r="A8" s="2">
        <v>112</v>
      </c>
      <c r="B8" s="57"/>
      <c r="C8" s="57"/>
      <c r="D8" s="58"/>
      <c r="E8" s="58"/>
      <c r="F8" s="59"/>
      <c r="G8" s="59"/>
      <c r="H8" s="59"/>
      <c r="I8" s="59"/>
      <c r="J8" s="59"/>
      <c r="K8" s="59"/>
      <c r="L8" s="57">
        <v>0.70162329621809594</v>
      </c>
      <c r="M8" s="57">
        <v>0.69562329621809593</v>
      </c>
      <c r="N8" s="57">
        <v>0.3042692481994953</v>
      </c>
      <c r="O8" s="57">
        <v>97.35</v>
      </c>
      <c r="P8" s="58">
        <v>13.95</v>
      </c>
      <c r="Q8" s="58">
        <v>0.19033939467425853</v>
      </c>
      <c r="R8" s="58">
        <v>0.75362358196963009</v>
      </c>
      <c r="S8" s="58">
        <v>0.74762358196963008</v>
      </c>
      <c r="T8" s="59">
        <v>0.14098707917453837</v>
      </c>
      <c r="U8" s="59">
        <v>0.13498707917453837</v>
      </c>
      <c r="V8" s="59">
        <v>4.6641263965510792E-2</v>
      </c>
      <c r="W8" s="59">
        <v>4.0641263965510786E-2</v>
      </c>
    </row>
    <row r="9" spans="1:23">
      <c r="A9" s="2">
        <v>128</v>
      </c>
      <c r="B9" s="57"/>
      <c r="C9" s="57"/>
      <c r="D9" s="58"/>
      <c r="E9" s="58"/>
      <c r="F9" s="59"/>
      <c r="G9" s="59"/>
      <c r="H9" s="59"/>
      <c r="I9" s="59"/>
      <c r="J9" s="59"/>
      <c r="K9" s="59"/>
      <c r="L9" s="57">
        <v>0.70162329621809594</v>
      </c>
      <c r="M9" s="57">
        <v>0.69562329621809593</v>
      </c>
      <c r="N9" s="57">
        <v>0.3042692481994953</v>
      </c>
      <c r="O9" s="57">
        <v>0.30177511329098988</v>
      </c>
      <c r="P9" s="58">
        <v>0.19633939467425854</v>
      </c>
      <c r="Q9" s="58">
        <v>0.19033939467425853</v>
      </c>
      <c r="R9" s="58">
        <v>0.75362358196963009</v>
      </c>
      <c r="S9" s="58">
        <v>0.74762358196963008</v>
      </c>
      <c r="T9" s="59">
        <v>0.14098707917453837</v>
      </c>
      <c r="U9" s="59">
        <v>0.13498707917453837</v>
      </c>
      <c r="V9" s="59">
        <v>4.6641263965510792E-2</v>
      </c>
      <c r="W9" s="59">
        <v>4.0641263965510786E-2</v>
      </c>
    </row>
    <row r="10" spans="1:23">
      <c r="A10" s="2">
        <v>144</v>
      </c>
      <c r="B10" s="57"/>
      <c r="C10" s="57"/>
      <c r="D10" s="58"/>
      <c r="E10" s="58"/>
      <c r="F10" s="59"/>
      <c r="G10" s="59"/>
      <c r="H10" s="59"/>
      <c r="I10" s="59"/>
      <c r="J10" s="59"/>
      <c r="K10" s="59"/>
      <c r="L10" s="57">
        <v>0.70162329621809594</v>
      </c>
      <c r="M10" s="57">
        <v>0.69562329621809593</v>
      </c>
      <c r="N10" s="57">
        <v>0.3042692481994953</v>
      </c>
      <c r="O10" s="57">
        <v>0.30177511329098988</v>
      </c>
      <c r="P10" s="58">
        <v>0.19633939467425854</v>
      </c>
      <c r="Q10" s="58">
        <v>0.19033939467425853</v>
      </c>
      <c r="R10" s="58">
        <v>0.75362358196963009</v>
      </c>
      <c r="S10" s="58">
        <v>0.74762358196963008</v>
      </c>
      <c r="T10" s="59">
        <v>0.14098707917453837</v>
      </c>
      <c r="U10" s="59">
        <v>0.13498707917453837</v>
      </c>
      <c r="V10" s="59">
        <v>4.6641263965510792E-2</v>
      </c>
      <c r="W10" s="59">
        <v>4.0641263965510786E-2</v>
      </c>
    </row>
    <row r="11" spans="1:23">
      <c r="A11" s="2">
        <v>160</v>
      </c>
      <c r="B11" s="57"/>
      <c r="C11" s="57"/>
      <c r="D11" s="58"/>
      <c r="E11" s="58"/>
      <c r="F11" s="59"/>
      <c r="G11" s="59"/>
      <c r="H11" s="59"/>
      <c r="I11" s="59"/>
      <c r="J11" s="59"/>
      <c r="K11" s="59"/>
      <c r="L11" s="57">
        <v>0.70162329621809594</v>
      </c>
      <c r="M11" s="57">
        <v>0.69562329621809593</v>
      </c>
      <c r="N11" s="57">
        <v>0.3042692481994953</v>
      </c>
      <c r="O11" s="57">
        <v>0.30177511329098988</v>
      </c>
      <c r="P11" s="58">
        <v>0.19633939467425854</v>
      </c>
      <c r="Q11" s="58">
        <v>0.19033939467425853</v>
      </c>
      <c r="R11" s="58">
        <v>0.75362358196963009</v>
      </c>
      <c r="S11" s="58">
        <v>0.74762358196963008</v>
      </c>
      <c r="T11" s="59">
        <v>0.14098707917453837</v>
      </c>
      <c r="U11" s="59">
        <v>0.13498707917453837</v>
      </c>
      <c r="V11" s="59">
        <v>4.6641263965510792E-2</v>
      </c>
      <c r="W11" s="59">
        <v>4.0641263965510786E-2</v>
      </c>
    </row>
    <row r="12" spans="1:23">
      <c r="A12" s="2">
        <v>176</v>
      </c>
      <c r="B12" s="57"/>
      <c r="C12" s="57"/>
      <c r="D12" s="58"/>
      <c r="E12" s="58"/>
      <c r="F12" s="59"/>
      <c r="G12" s="59"/>
      <c r="H12" s="59"/>
      <c r="I12" s="59"/>
      <c r="J12" s="59"/>
      <c r="K12" s="59"/>
      <c r="L12" s="57">
        <v>0.70162329621809594</v>
      </c>
      <c r="M12" s="57">
        <v>0.69562329621809593</v>
      </c>
      <c r="N12" s="57">
        <v>0.3042692481994953</v>
      </c>
      <c r="O12" s="57">
        <v>0.30177511329098988</v>
      </c>
      <c r="P12" s="58">
        <v>0.19633939467425854</v>
      </c>
      <c r="Q12" s="58">
        <v>0.19033939467425853</v>
      </c>
      <c r="R12" s="58">
        <v>0.75362358196963009</v>
      </c>
      <c r="S12" s="58">
        <v>0.74762358196963008</v>
      </c>
      <c r="T12" s="59">
        <v>0.14098707917453837</v>
      </c>
      <c r="U12" s="59">
        <v>0.13498707917453837</v>
      </c>
      <c r="V12" s="59">
        <v>4.6641263965510792E-2</v>
      </c>
      <c r="W12" s="59">
        <v>4.0641263965510786E-2</v>
      </c>
    </row>
    <row r="13" spans="1:23">
      <c r="A13" s="2">
        <v>192</v>
      </c>
      <c r="B13" s="57"/>
      <c r="C13" s="57"/>
      <c r="D13" s="58"/>
      <c r="E13" s="58"/>
      <c r="F13" s="59"/>
      <c r="G13" s="59"/>
      <c r="H13" s="59"/>
      <c r="I13" s="59"/>
      <c r="J13" s="59"/>
      <c r="K13" s="59"/>
      <c r="L13" s="57">
        <v>0.70162329621809594</v>
      </c>
      <c r="M13" s="57">
        <v>0.69562329621809593</v>
      </c>
      <c r="N13" s="57">
        <v>0.3042692481994953</v>
      </c>
      <c r="O13" s="57">
        <v>0.30177511329098988</v>
      </c>
      <c r="P13" s="58">
        <v>0.19633939467425854</v>
      </c>
      <c r="Q13" s="58">
        <v>0.19033939467425853</v>
      </c>
      <c r="R13" s="58">
        <v>0.75362358196963009</v>
      </c>
      <c r="S13" s="58">
        <v>0.74762358196963008</v>
      </c>
      <c r="T13" s="59">
        <v>0.14098707917453837</v>
      </c>
      <c r="U13" s="59">
        <v>0.13498707917453837</v>
      </c>
      <c r="V13" s="59">
        <v>4.6641263965510792E-2</v>
      </c>
      <c r="W13" s="59">
        <v>4.0641263965510786E-2</v>
      </c>
    </row>
    <row r="14" spans="1:23">
      <c r="A14" s="2">
        <v>208</v>
      </c>
      <c r="B14" s="57"/>
      <c r="C14" s="57"/>
      <c r="D14" s="58"/>
      <c r="E14" s="58"/>
      <c r="F14" s="59"/>
      <c r="G14" s="59"/>
      <c r="H14" s="59"/>
      <c r="I14" s="59"/>
      <c r="J14" s="59"/>
      <c r="K14" s="59"/>
      <c r="L14" s="57">
        <v>0.70162329621809594</v>
      </c>
      <c r="M14" s="57">
        <v>0.69562329621809593</v>
      </c>
      <c r="N14" s="57">
        <v>0.3042692481994953</v>
      </c>
      <c r="O14" s="57">
        <v>0.30177511329098988</v>
      </c>
      <c r="P14" s="58">
        <v>0.19633939467425854</v>
      </c>
      <c r="Q14" s="58">
        <v>0.19033939467425853</v>
      </c>
      <c r="R14" s="58">
        <v>0.75362358196963009</v>
      </c>
      <c r="S14" s="58">
        <v>0.74762358196963008</v>
      </c>
      <c r="T14" s="59">
        <v>0.14098707917453837</v>
      </c>
      <c r="U14" s="59">
        <v>0.13498707917453837</v>
      </c>
      <c r="V14" s="59">
        <v>4.6641263965510792E-2</v>
      </c>
      <c r="W14" s="59">
        <v>4.0641263965510786E-2</v>
      </c>
    </row>
    <row r="15" spans="1:23">
      <c r="A15" s="2">
        <v>224</v>
      </c>
      <c r="B15" s="57"/>
      <c r="C15" s="57"/>
      <c r="D15" s="58"/>
      <c r="E15" s="58"/>
      <c r="F15" s="59"/>
      <c r="G15" s="59"/>
      <c r="H15" s="59"/>
      <c r="I15" s="59"/>
      <c r="J15" s="59"/>
      <c r="K15" s="59"/>
      <c r="L15" s="57">
        <v>0.70162329621809594</v>
      </c>
      <c r="M15" s="57">
        <v>0.69562329621809593</v>
      </c>
      <c r="N15" s="57">
        <v>0.3042692481994953</v>
      </c>
      <c r="O15" s="57">
        <v>0.30177511329098988</v>
      </c>
      <c r="P15" s="58">
        <v>0.19633939467425854</v>
      </c>
      <c r="Q15" s="58">
        <v>0.19033939467425853</v>
      </c>
      <c r="R15" s="58">
        <v>0.75362358196963009</v>
      </c>
      <c r="S15" s="58">
        <v>0.74762358196963008</v>
      </c>
      <c r="T15" s="59">
        <v>0.14098707917453837</v>
      </c>
      <c r="U15" s="59">
        <v>0.13498707917453837</v>
      </c>
      <c r="V15" s="59">
        <v>4.6641263965510792E-2</v>
      </c>
      <c r="W15" s="59">
        <v>4.0641263965510786E-2</v>
      </c>
    </row>
    <row r="16" spans="1:23">
      <c r="A16" s="2">
        <v>240</v>
      </c>
      <c r="B16" s="57"/>
      <c r="C16" s="57"/>
      <c r="D16" s="58"/>
      <c r="E16" s="58"/>
      <c r="F16" s="59"/>
      <c r="G16" s="59"/>
      <c r="H16" s="59"/>
      <c r="I16" s="59"/>
      <c r="J16" s="59"/>
      <c r="K16" s="59"/>
      <c r="L16" s="57">
        <v>0.70162329621809594</v>
      </c>
      <c r="M16" s="57">
        <v>0.69562329621809593</v>
      </c>
      <c r="N16" s="57">
        <v>0.3042692481994953</v>
      </c>
      <c r="O16" s="57">
        <v>0.30177511329098988</v>
      </c>
      <c r="P16" s="58">
        <v>0.19633939467425854</v>
      </c>
      <c r="Q16" s="58">
        <v>0.19033939467425853</v>
      </c>
      <c r="R16" s="58">
        <v>0.75362358196963009</v>
      </c>
      <c r="S16" s="58">
        <v>0.74762358196963008</v>
      </c>
      <c r="T16" s="59">
        <v>0.14098707917453837</v>
      </c>
      <c r="U16" s="59">
        <v>0.13498707917453837</v>
      </c>
      <c r="V16" s="59">
        <v>4.6641263965510792E-2</v>
      </c>
      <c r="W16" s="59">
        <v>4.0641263965510786E-2</v>
      </c>
    </row>
    <row r="17" spans="1:26">
      <c r="A17" s="2">
        <v>256</v>
      </c>
      <c r="B17" s="57"/>
      <c r="C17" s="57"/>
      <c r="D17" s="58"/>
      <c r="E17" s="58"/>
      <c r="F17" s="59"/>
      <c r="G17" s="59"/>
      <c r="H17" s="59"/>
      <c r="I17" s="59"/>
      <c r="J17" s="59"/>
      <c r="K17" s="59"/>
      <c r="L17" s="57">
        <v>0.70162329621809594</v>
      </c>
      <c r="M17" s="57">
        <v>0.69562329621809593</v>
      </c>
      <c r="N17" s="57">
        <v>0.3042692481994953</v>
      </c>
      <c r="O17" s="57">
        <v>0.30177511329098988</v>
      </c>
      <c r="P17" s="58">
        <v>0.19633939467425854</v>
      </c>
      <c r="Q17" s="58">
        <v>0.19033939467425853</v>
      </c>
      <c r="R17" s="58">
        <v>0.75362358196963009</v>
      </c>
      <c r="S17" s="58">
        <v>0.74762358196963008</v>
      </c>
      <c r="T17" s="59">
        <v>0.14098707917453837</v>
      </c>
      <c r="U17" s="59">
        <v>0.13498707917453837</v>
      </c>
      <c r="V17" s="59">
        <v>4.6641263965510792E-2</v>
      </c>
      <c r="W17" s="59">
        <v>4.0641263965510786E-2</v>
      </c>
    </row>
    <row r="18" spans="1:26" ht="16.5">
      <c r="A18"/>
      <c r="B18"/>
      <c r="C18"/>
      <c r="D18"/>
      <c r="E18"/>
      <c r="F18"/>
      <c r="G18"/>
      <c r="H18"/>
      <c r="I18"/>
      <c r="J18"/>
      <c r="K18"/>
      <c r="L18"/>
      <c r="M18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</row>
    <row r="19" spans="1:26" ht="15.75">
      <c r="A19" s="61"/>
      <c r="B19" s="43" t="s">
        <v>10</v>
      </c>
      <c r="C19" s="43" t="s">
        <v>98</v>
      </c>
      <c r="D19" s="43" t="s">
        <v>89</v>
      </c>
      <c r="E19" s="43" t="s">
        <v>83</v>
      </c>
      <c r="F19" s="44" t="s">
        <v>10</v>
      </c>
      <c r="G19" s="44" t="s">
        <v>98</v>
      </c>
      <c r="H19" s="44" t="s">
        <v>89</v>
      </c>
      <c r="I19" s="44" t="s">
        <v>83</v>
      </c>
      <c r="J19" s="45" t="s">
        <v>10</v>
      </c>
      <c r="K19" s="45" t="s">
        <v>98</v>
      </c>
      <c r="L19" s="45" t="s">
        <v>89</v>
      </c>
      <c r="M19" s="45" t="s">
        <v>83</v>
      </c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</row>
    <row r="20" spans="1:26">
      <c r="A20" s="2">
        <v>16</v>
      </c>
      <c r="B20" s="57"/>
      <c r="C20" s="62"/>
      <c r="D20" s="62"/>
      <c r="E20" s="57"/>
      <c r="F20" s="63"/>
      <c r="G20" s="63"/>
      <c r="H20" s="58"/>
      <c r="I20" s="63"/>
      <c r="J20" s="64"/>
      <c r="K20" s="64"/>
      <c r="L20" s="64"/>
      <c r="M20" s="64"/>
    </row>
    <row r="21" spans="1:26">
      <c r="A21" s="2">
        <v>32</v>
      </c>
      <c r="B21" s="57"/>
      <c r="C21" s="62"/>
      <c r="D21" s="62"/>
      <c r="E21" s="57"/>
      <c r="F21" s="63"/>
      <c r="G21" s="63"/>
      <c r="H21" s="58"/>
      <c r="I21" s="63"/>
      <c r="J21" s="64"/>
      <c r="K21" s="64"/>
      <c r="L21" s="64"/>
      <c r="M21" s="64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2">
        <v>48</v>
      </c>
      <c r="B22" s="57"/>
      <c r="C22" s="62"/>
      <c r="D22" s="62"/>
      <c r="E22" s="57"/>
      <c r="F22" s="63"/>
      <c r="G22" s="63"/>
      <c r="H22" s="58"/>
      <c r="I22" s="63"/>
      <c r="J22" s="64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</row>
    <row r="23" spans="1:26">
      <c r="A23" s="2">
        <v>64</v>
      </c>
      <c r="B23" s="57"/>
      <c r="C23" s="62"/>
      <c r="D23" s="62"/>
      <c r="E23" s="57"/>
      <c r="F23" s="63"/>
      <c r="G23" s="63"/>
      <c r="H23" s="58"/>
      <c r="I23" s="63"/>
      <c r="J23" s="64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</row>
    <row r="24" spans="1:26">
      <c r="A24" s="2">
        <v>80</v>
      </c>
      <c r="B24" s="57"/>
      <c r="C24" s="62"/>
      <c r="D24" s="62"/>
      <c r="E24" s="57"/>
      <c r="F24" s="63"/>
      <c r="G24" s="63"/>
      <c r="H24" s="58"/>
      <c r="I24" s="63"/>
      <c r="J24" s="64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</row>
    <row r="25" spans="1:26">
      <c r="A25" s="2">
        <v>96</v>
      </c>
      <c r="B25" s="57"/>
      <c r="C25" s="62"/>
      <c r="D25" s="62"/>
      <c r="E25" s="57"/>
      <c r="F25" s="63"/>
      <c r="G25" s="63"/>
      <c r="H25" s="58"/>
      <c r="I25" s="63"/>
      <c r="J25" s="64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</row>
    <row r="26" spans="1:26">
      <c r="A26" s="2">
        <v>112</v>
      </c>
      <c r="B26" s="57"/>
      <c r="C26" s="62"/>
      <c r="D26" s="62"/>
      <c r="E26" s="57"/>
      <c r="F26" s="63"/>
      <c r="G26" s="63"/>
      <c r="H26" s="58"/>
      <c r="I26" s="63"/>
      <c r="J26" s="64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</row>
    <row r="27" spans="1:26">
      <c r="A27" s="2">
        <v>128</v>
      </c>
      <c r="B27" s="57"/>
      <c r="C27" s="62"/>
      <c r="D27" s="62"/>
      <c r="E27" s="57"/>
      <c r="F27" s="63"/>
      <c r="G27" s="63"/>
      <c r="H27" s="58"/>
      <c r="I27" s="63"/>
      <c r="J27" s="64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</row>
    <row r="28" spans="1:26">
      <c r="A28" s="2">
        <v>144</v>
      </c>
      <c r="B28" s="57"/>
      <c r="C28" s="62"/>
      <c r="D28" s="62"/>
      <c r="E28" s="57"/>
      <c r="F28" s="63"/>
      <c r="G28" s="63"/>
      <c r="H28" s="58"/>
      <c r="I28" s="63"/>
      <c r="J28" s="64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</row>
    <row r="29" spans="1:26">
      <c r="A29" s="2">
        <v>160</v>
      </c>
      <c r="B29" s="57"/>
      <c r="C29" s="62"/>
      <c r="D29" s="62"/>
      <c r="E29" s="57"/>
      <c r="F29" s="63"/>
      <c r="G29" s="63"/>
      <c r="H29" s="58"/>
      <c r="I29" s="63"/>
      <c r="J29" s="64"/>
      <c r="K29" s="64"/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</row>
    <row r="30" spans="1:26">
      <c r="A30" s="2">
        <v>176</v>
      </c>
      <c r="B30" s="57"/>
      <c r="C30" s="62"/>
      <c r="D30" s="62"/>
      <c r="E30" s="57"/>
      <c r="F30" s="63"/>
      <c r="G30" s="63"/>
      <c r="H30" s="58"/>
      <c r="I30" s="63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</row>
    <row r="31" spans="1:26">
      <c r="A31" s="2">
        <v>192</v>
      </c>
      <c r="B31" s="57"/>
      <c r="C31" s="62"/>
      <c r="D31" s="62"/>
      <c r="E31" s="57"/>
      <c r="F31" s="63"/>
      <c r="G31" s="63"/>
      <c r="H31" s="58"/>
      <c r="I31" s="63"/>
      <c r="J31" s="64"/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</row>
    <row r="32" spans="1:26">
      <c r="A32" s="2">
        <v>208</v>
      </c>
      <c r="B32" s="57"/>
      <c r="C32" s="62"/>
      <c r="D32" s="62"/>
      <c r="E32" s="57"/>
      <c r="F32" s="63"/>
      <c r="G32" s="63"/>
      <c r="H32" s="58"/>
      <c r="I32" s="63"/>
      <c r="J32" s="64"/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</row>
    <row r="33" spans="1:26">
      <c r="A33" s="2">
        <v>224</v>
      </c>
      <c r="B33" s="57"/>
      <c r="C33" s="62"/>
      <c r="D33" s="62"/>
      <c r="E33" s="57"/>
      <c r="F33" s="63"/>
      <c r="G33" s="63"/>
      <c r="H33" s="58"/>
      <c r="I33" s="63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</row>
    <row r="34" spans="1:26">
      <c r="A34" s="2">
        <v>240</v>
      </c>
      <c r="B34" s="57"/>
      <c r="C34" s="62"/>
      <c r="D34" s="62"/>
      <c r="E34" s="57"/>
      <c r="F34" s="63"/>
      <c r="G34" s="63"/>
      <c r="H34" s="58"/>
      <c r="I34" s="63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</row>
    <row r="35" spans="1:26">
      <c r="A35" s="2">
        <v>256</v>
      </c>
      <c r="B35" s="57"/>
      <c r="C35" s="62"/>
      <c r="D35" s="62"/>
      <c r="E35" s="57"/>
      <c r="F35" s="63"/>
      <c r="G35" s="63"/>
      <c r="H35" s="58"/>
      <c r="I35" s="63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</row>
    <row r="36" spans="1:26"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</row>
    <row r="37" spans="1:26">
      <c r="B37" s="34"/>
      <c r="C37" s="34"/>
      <c r="D37" s="3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</row>
    <row r="38" spans="1:26">
      <c r="B38" s="34"/>
      <c r="C38" s="34"/>
      <c r="D38" s="34"/>
    </row>
    <row r="39" spans="1:26">
      <c r="B39" s="34"/>
      <c r="C39" s="34"/>
      <c r="D39" s="34"/>
    </row>
    <row r="40" spans="1:26">
      <c r="B40" s="34"/>
      <c r="C40" s="34"/>
      <c r="D40" s="34"/>
    </row>
    <row r="41" spans="1:26">
      <c r="B41" s="34"/>
      <c r="C41" s="34"/>
      <c r="D41" s="34"/>
    </row>
    <row r="42" spans="1:26">
      <c r="B42" s="34"/>
      <c r="C42" s="34"/>
      <c r="D42" s="34"/>
    </row>
    <row r="43" spans="1:26">
      <c r="B43" s="34"/>
      <c r="C43" s="34"/>
      <c r="D43" s="34"/>
    </row>
    <row r="44" spans="1:26">
      <c r="B44" s="34"/>
      <c r="C44" s="34"/>
      <c r="D44" s="34"/>
    </row>
    <row r="45" spans="1:26">
      <c r="B45" s="34"/>
      <c r="C45" s="34"/>
      <c r="D45" s="34"/>
    </row>
    <row r="46" spans="1:26">
      <c r="B46" s="34"/>
      <c r="C46" s="34"/>
      <c r="D46" s="34"/>
    </row>
    <row r="47" spans="1:26">
      <c r="B47" s="34"/>
      <c r="C47" s="34"/>
      <c r="D47" s="34"/>
    </row>
    <row r="48" spans="1:26">
      <c r="B48" s="34"/>
      <c r="C48" s="34"/>
      <c r="D48" s="34"/>
    </row>
    <row r="49" spans="2:4">
      <c r="B49" s="34"/>
      <c r="C49" s="34"/>
      <c r="D49" s="34"/>
    </row>
    <row r="50" spans="2:4">
      <c r="B50" s="34"/>
      <c r="C50" s="34"/>
      <c r="D50" s="34"/>
    </row>
    <row r="51" spans="2:4">
      <c r="B51" s="34"/>
      <c r="C51" s="34"/>
      <c r="D51" s="34"/>
    </row>
    <row r="52" spans="2:4">
      <c r="B52" s="34"/>
      <c r="C52" s="34"/>
      <c r="D52" s="34"/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:V99"/>
  <sheetViews>
    <sheetView topLeftCell="A54" zoomScale="60" zoomScaleNormal="60" workbookViewId="0">
      <selection activeCell="G98" sqref="G98"/>
    </sheetView>
  </sheetViews>
  <sheetFormatPr defaultColWidth="9" defaultRowHeight="15"/>
  <cols>
    <col min="1" max="1" width="13" style="73" bestFit="1" customWidth="1"/>
    <col min="2" max="2" width="24" style="73" bestFit="1" customWidth="1"/>
    <col min="3" max="3" width="13.125" style="73" bestFit="1" customWidth="1"/>
    <col min="4" max="5" width="7.375" style="73" bestFit="1" customWidth="1"/>
    <col min="6" max="6" width="13" style="74" bestFit="1" customWidth="1"/>
    <col min="7" max="7" width="24" style="74" bestFit="1" customWidth="1"/>
    <col min="8" max="8" width="13.125" style="74" bestFit="1" customWidth="1"/>
    <col min="9" max="10" width="7.375" style="74" bestFit="1" customWidth="1"/>
    <col min="11" max="11" width="13.625" style="75" bestFit="1" customWidth="1"/>
    <col min="12" max="12" width="24" style="75" bestFit="1" customWidth="1"/>
    <col min="13" max="13" width="13.125" style="75" bestFit="1" customWidth="1"/>
    <col min="14" max="15" width="7.375" style="75" bestFit="1" customWidth="1"/>
    <col min="16" max="16" width="1.625" style="1" customWidth="1"/>
    <col min="17" max="16384" width="9" style="1"/>
  </cols>
  <sheetData>
    <row r="1" spans="1:15" ht="15.75">
      <c r="A1" s="18" t="s">
        <v>54</v>
      </c>
      <c r="B1" s="18" t="s">
        <v>6</v>
      </c>
      <c r="C1" s="18" t="s">
        <v>7</v>
      </c>
      <c r="D1" s="18" t="s">
        <v>84</v>
      </c>
      <c r="E1" s="18" t="s">
        <v>85</v>
      </c>
      <c r="F1" s="19" t="s">
        <v>54</v>
      </c>
      <c r="G1" s="19" t="s">
        <v>18</v>
      </c>
      <c r="H1" s="19" t="s">
        <v>19</v>
      </c>
      <c r="I1" s="19" t="s">
        <v>86</v>
      </c>
      <c r="J1" s="19" t="s">
        <v>85</v>
      </c>
      <c r="K1" s="15" t="s">
        <v>55</v>
      </c>
      <c r="L1" s="15" t="s">
        <v>6</v>
      </c>
      <c r="M1" s="15" t="s">
        <v>7</v>
      </c>
      <c r="N1" s="15" t="s">
        <v>84</v>
      </c>
      <c r="O1" s="15" t="s">
        <v>85</v>
      </c>
    </row>
    <row r="2" spans="1:15">
      <c r="A2" s="73">
        <v>-1.95</v>
      </c>
      <c r="B2" s="73">
        <v>1.54215552E-6</v>
      </c>
      <c r="C2" s="73">
        <v>0</v>
      </c>
      <c r="F2" s="74">
        <v>-1.95</v>
      </c>
      <c r="G2" s="74">
        <v>4.5842927999999994E-7</v>
      </c>
      <c r="H2" s="74">
        <v>0</v>
      </c>
      <c r="K2" s="75">
        <v>-1.95</v>
      </c>
      <c r="L2" s="75">
        <v>3.0852435897435893E-7</v>
      </c>
      <c r="M2" s="75">
        <v>0</v>
      </c>
    </row>
    <row r="3" spans="1:15">
      <c r="A3" s="73">
        <v>-1.9</v>
      </c>
      <c r="B3" s="73">
        <v>1.0623544E-6</v>
      </c>
      <c r="C3" s="73">
        <v>0</v>
      </c>
      <c r="F3" s="74">
        <v>-1.9</v>
      </c>
      <c r="G3" s="74">
        <v>6.5860096000000002E-7</v>
      </c>
      <c r="H3" s="74">
        <v>0</v>
      </c>
      <c r="K3" s="75">
        <v>-1.9</v>
      </c>
      <c r="L3" s="75">
        <v>2.6932115384615387E-7</v>
      </c>
      <c r="M3" s="75">
        <v>0</v>
      </c>
    </row>
    <row r="4" spans="1:15">
      <c r="A4" s="73">
        <v>-1.85</v>
      </c>
      <c r="B4" s="73">
        <v>2.9603856000000001E-7</v>
      </c>
      <c r="C4" s="73">
        <v>0</v>
      </c>
      <c r="F4" s="74">
        <v>-1.85</v>
      </c>
      <c r="G4" s="74">
        <v>8.8374528000000004E-8</v>
      </c>
      <c r="H4" s="74">
        <v>0</v>
      </c>
      <c r="K4" s="75">
        <v>-1.85</v>
      </c>
      <c r="L4" s="75">
        <v>1.6700256410256408E-7</v>
      </c>
      <c r="M4" s="75">
        <v>0</v>
      </c>
    </row>
    <row r="5" spans="1:15">
      <c r="A5" s="73">
        <v>-1.8</v>
      </c>
      <c r="B5" s="73">
        <v>1.5657265600000001E-9</v>
      </c>
      <c r="C5" s="73">
        <v>0</v>
      </c>
      <c r="F5" s="74">
        <v>-1.8</v>
      </c>
      <c r="G5" s="74">
        <v>1.4318844800000001E-7</v>
      </c>
      <c r="H5" s="74">
        <v>0</v>
      </c>
      <c r="K5" s="75">
        <v>-1.8</v>
      </c>
      <c r="L5" s="75">
        <v>1.3007663461538461E-7</v>
      </c>
      <c r="M5" s="75">
        <v>0</v>
      </c>
    </row>
    <row r="6" spans="1:15">
      <c r="A6" s="73">
        <v>-1.75</v>
      </c>
      <c r="B6" s="73">
        <v>5.8767120000000005E-8</v>
      </c>
      <c r="C6" s="73">
        <v>0</v>
      </c>
      <c r="F6" s="74">
        <v>-1.75</v>
      </c>
      <c r="G6" s="74">
        <v>1.39209296E-7</v>
      </c>
      <c r="H6" s="74">
        <v>0</v>
      </c>
      <c r="K6" s="75">
        <v>-1.75</v>
      </c>
      <c r="L6" s="75">
        <v>7.164168269230769E-7</v>
      </c>
      <c r="M6" s="75">
        <v>0</v>
      </c>
    </row>
    <row r="7" spans="1:15">
      <c r="A7" s="73">
        <v>-1.7</v>
      </c>
      <c r="B7" s="73">
        <v>1.0334695999999999E-7</v>
      </c>
      <c r="C7" s="73">
        <v>0</v>
      </c>
      <c r="F7" s="74">
        <v>-1.7</v>
      </c>
      <c r="G7" s="74">
        <v>8.9348912E-8</v>
      </c>
      <c r="H7" s="74">
        <v>0</v>
      </c>
      <c r="K7" s="75">
        <v>-1.7</v>
      </c>
      <c r="L7" s="75">
        <v>5.9888862179487172E-7</v>
      </c>
      <c r="M7" s="75">
        <v>0</v>
      </c>
    </row>
    <row r="8" spans="1:15">
      <c r="A8" s="73">
        <v>-1.65</v>
      </c>
      <c r="B8" s="73">
        <v>1.8299279999999999E-7</v>
      </c>
      <c r="C8" s="73">
        <v>0</v>
      </c>
      <c r="F8" s="74">
        <v>-1.65</v>
      </c>
      <c r="G8" s="74">
        <v>3.4961312000000001E-7</v>
      </c>
      <c r="H8" s="74">
        <v>0</v>
      </c>
      <c r="K8" s="75">
        <v>-1.65</v>
      </c>
      <c r="L8" s="75">
        <v>9.3528749999999994E-7</v>
      </c>
      <c r="M8" s="75">
        <v>0</v>
      </c>
    </row>
    <row r="9" spans="1:15">
      <c r="A9" s="73">
        <v>-1.6</v>
      </c>
      <c r="B9" s="73">
        <v>3.5702976000000004E-7</v>
      </c>
      <c r="C9" s="73">
        <v>0</v>
      </c>
      <c r="F9" s="74">
        <v>-1.6</v>
      </c>
      <c r="G9" s="74">
        <v>2.9090144000000003E-7</v>
      </c>
      <c r="H9" s="74">
        <v>0</v>
      </c>
      <c r="K9" s="75">
        <v>-1.6</v>
      </c>
      <c r="L9" s="75">
        <v>9.5367067307692308E-7</v>
      </c>
      <c r="M9" s="75">
        <v>0</v>
      </c>
    </row>
    <row r="10" spans="1:15">
      <c r="A10" s="73">
        <v>-1.55</v>
      </c>
      <c r="B10" s="73">
        <v>4.2305504000000004E-7</v>
      </c>
      <c r="C10" s="73">
        <v>0</v>
      </c>
      <c r="F10" s="74">
        <v>-1.55</v>
      </c>
      <c r="G10" s="74">
        <v>3.2127248000000001E-7</v>
      </c>
      <c r="H10" s="74">
        <v>0</v>
      </c>
      <c r="K10" s="75">
        <v>-1.55</v>
      </c>
      <c r="L10" s="75">
        <v>3.1623878205128199E-6</v>
      </c>
      <c r="M10" s="75">
        <v>0</v>
      </c>
    </row>
    <row r="11" spans="1:15">
      <c r="A11" s="73">
        <v>-1.5</v>
      </c>
      <c r="B11" s="73">
        <v>1.7064848E-7</v>
      </c>
      <c r="C11" s="73">
        <v>0</v>
      </c>
      <c r="F11" s="74">
        <v>-1.5</v>
      </c>
      <c r="G11" s="74">
        <v>2.4973024000000002E-7</v>
      </c>
      <c r="H11" s="74">
        <v>0</v>
      </c>
      <c r="K11" s="75">
        <v>-1.5</v>
      </c>
      <c r="L11" s="75">
        <v>2.3728750000000001E-6</v>
      </c>
      <c r="M11" s="75">
        <v>0</v>
      </c>
    </row>
    <row r="12" spans="1:15">
      <c r="A12" s="73">
        <v>-1.45</v>
      </c>
      <c r="B12" s="73">
        <v>1.6467535999999999E-6</v>
      </c>
      <c r="C12" s="73">
        <v>0</v>
      </c>
      <c r="F12" s="74">
        <v>-1.45</v>
      </c>
      <c r="G12" s="74">
        <v>2.9301295999999999E-7</v>
      </c>
      <c r="H12" s="74">
        <v>0</v>
      </c>
      <c r="K12" s="75">
        <v>-1.45</v>
      </c>
      <c r="L12" s="75">
        <v>4.2759375000000001E-6</v>
      </c>
      <c r="M12" s="75">
        <v>0</v>
      </c>
    </row>
    <row r="13" spans="1:15">
      <c r="A13" s="73">
        <v>-1.4</v>
      </c>
      <c r="B13" s="73">
        <v>4.3807920000000008E-7</v>
      </c>
      <c r="C13" s="73">
        <v>0</v>
      </c>
      <c r="F13" s="74">
        <v>-1.4</v>
      </c>
      <c r="G13" s="74">
        <v>2.7271152000000002E-7</v>
      </c>
      <c r="H13" s="74">
        <v>0</v>
      </c>
      <c r="K13" s="75">
        <v>-1.4</v>
      </c>
      <c r="L13" s="75">
        <v>5.4419903846153843E-7</v>
      </c>
      <c r="M13" s="75">
        <v>0</v>
      </c>
    </row>
    <row r="14" spans="1:15">
      <c r="A14" s="73">
        <v>-1.35</v>
      </c>
      <c r="B14" s="73">
        <v>5.2352207999999998E-8</v>
      </c>
      <c r="C14" s="73">
        <v>0</v>
      </c>
      <c r="F14" s="74">
        <v>-1.35</v>
      </c>
      <c r="G14" s="74">
        <v>3.7527455999999997E-7</v>
      </c>
      <c r="H14" s="74">
        <v>0</v>
      </c>
      <c r="K14" s="75">
        <v>-1.35</v>
      </c>
      <c r="L14" s="75">
        <v>4.362815705128205E-7</v>
      </c>
      <c r="M14" s="75">
        <v>0</v>
      </c>
    </row>
    <row r="15" spans="1:15">
      <c r="A15" s="73">
        <v>-1.3</v>
      </c>
      <c r="B15" s="73">
        <v>3.0427776000000001E-8</v>
      </c>
      <c r="C15" s="73">
        <v>0</v>
      </c>
      <c r="F15" s="74">
        <v>-1.3</v>
      </c>
      <c r="G15" s="74">
        <v>3.3385904000000001E-7</v>
      </c>
      <c r="H15" s="74">
        <v>0</v>
      </c>
      <c r="K15" s="75">
        <v>-1.3</v>
      </c>
      <c r="L15" s="75">
        <v>4.3175881410256414E-6</v>
      </c>
      <c r="M15" s="75">
        <v>0</v>
      </c>
    </row>
    <row r="16" spans="1:15">
      <c r="A16" s="73">
        <v>-1.25</v>
      </c>
      <c r="B16" s="73">
        <v>3.3026223999999999E-8</v>
      </c>
      <c r="C16" s="73">
        <v>0</v>
      </c>
      <c r="F16" s="74">
        <v>-1.25</v>
      </c>
      <c r="G16" s="74">
        <v>4.5865024000000002E-7</v>
      </c>
      <c r="H16" s="74">
        <v>0</v>
      </c>
      <c r="K16" s="75">
        <v>-1.25</v>
      </c>
      <c r="L16" s="75">
        <v>1.7016891025641024E-6</v>
      </c>
      <c r="M16" s="75">
        <v>0</v>
      </c>
    </row>
    <row r="17" spans="1:13">
      <c r="A17" s="73">
        <v>-1.2</v>
      </c>
      <c r="B17" s="73">
        <v>1.4133096E-7</v>
      </c>
      <c r="C17" s="73">
        <v>0</v>
      </c>
      <c r="F17" s="74">
        <v>-1.2</v>
      </c>
      <c r="G17" s="74">
        <v>4.2529679999999991E-7</v>
      </c>
      <c r="H17" s="74">
        <v>0</v>
      </c>
      <c r="K17" s="75">
        <v>-1.2</v>
      </c>
      <c r="L17" s="75">
        <v>1.1118133012820512E-8</v>
      </c>
      <c r="M17" s="75">
        <v>0</v>
      </c>
    </row>
    <row r="18" spans="1:13">
      <c r="A18" s="73">
        <v>-1.1499999999999999</v>
      </c>
      <c r="B18" s="73">
        <v>4.4147088000000001E-7</v>
      </c>
      <c r="C18" s="73">
        <v>0</v>
      </c>
      <c r="F18" s="74">
        <v>-1.1499999999999999</v>
      </c>
      <c r="G18" s="74">
        <v>5.962768E-8</v>
      </c>
      <c r="H18" s="74">
        <v>0</v>
      </c>
      <c r="K18" s="75">
        <v>-1.1499999999999999</v>
      </c>
      <c r="L18" s="75">
        <v>6.2038125000000007E-6</v>
      </c>
      <c r="M18" s="75">
        <v>0</v>
      </c>
    </row>
    <row r="19" spans="1:13">
      <c r="A19" s="73">
        <v>-1.1000000000000001</v>
      </c>
      <c r="B19" s="73">
        <v>9.7987616E-8</v>
      </c>
      <c r="C19" s="73">
        <v>0</v>
      </c>
      <c r="F19" s="74">
        <v>-1.1000000000000001</v>
      </c>
      <c r="G19" s="74">
        <v>4.8763408E-6</v>
      </c>
      <c r="H19" s="74">
        <v>0</v>
      </c>
      <c r="K19" s="75">
        <v>-1.1000000000000001</v>
      </c>
      <c r="L19" s="75">
        <v>8.4041939102564105E-6</v>
      </c>
      <c r="M19" s="75">
        <v>0</v>
      </c>
    </row>
    <row r="20" spans="1:13">
      <c r="A20" s="73">
        <v>-1.05</v>
      </c>
      <c r="B20" s="73">
        <v>3.1564560000000004E-8</v>
      </c>
      <c r="C20" s="73">
        <v>0</v>
      </c>
      <c r="F20" s="74">
        <v>-1.05</v>
      </c>
      <c r="G20" s="74">
        <v>1.6303840000000001E-6</v>
      </c>
      <c r="H20" s="74">
        <v>0</v>
      </c>
      <c r="K20" s="75">
        <v>-1.05</v>
      </c>
      <c r="L20" s="75">
        <v>1.2360251602564101E-6</v>
      </c>
      <c r="M20" s="75">
        <v>0</v>
      </c>
    </row>
    <row r="21" spans="1:13">
      <c r="A21" s="73">
        <v>-1</v>
      </c>
      <c r="B21" s="73">
        <v>2.8397680000000001E-8</v>
      </c>
      <c r="C21" s="73">
        <v>0</v>
      </c>
      <c r="F21" s="74">
        <v>-1</v>
      </c>
      <c r="G21" s="74">
        <v>1.3791003199999998E-7</v>
      </c>
      <c r="H21" s="74">
        <v>0</v>
      </c>
      <c r="K21" s="75">
        <v>-1</v>
      </c>
      <c r="L21" s="75">
        <v>3.9635128205128204E-7</v>
      </c>
      <c r="M21" s="75">
        <v>0</v>
      </c>
    </row>
    <row r="22" spans="1:13">
      <c r="A22" s="73">
        <v>-0.95</v>
      </c>
      <c r="B22" s="73">
        <v>1.7401727999999999E-8</v>
      </c>
      <c r="C22" s="73">
        <v>0</v>
      </c>
      <c r="F22" s="74">
        <v>-0.95</v>
      </c>
      <c r="G22" s="74">
        <v>3.9460095999999999E-7</v>
      </c>
      <c r="H22" s="74">
        <v>0</v>
      </c>
      <c r="K22" s="75">
        <v>-0.95</v>
      </c>
      <c r="L22" s="75">
        <v>2.8688894230769231E-7</v>
      </c>
      <c r="M22" s="75">
        <v>0</v>
      </c>
    </row>
    <row r="23" spans="1:13">
      <c r="A23" s="73">
        <v>-0.9</v>
      </c>
      <c r="B23" s="73">
        <v>4.6394384000000002E-8</v>
      </c>
      <c r="C23" s="73">
        <v>0</v>
      </c>
      <c r="F23" s="74">
        <v>-0.9</v>
      </c>
      <c r="G23" s="74">
        <v>2.3113423999999998E-7</v>
      </c>
      <c r="H23" s="74">
        <v>0</v>
      </c>
      <c r="K23" s="75">
        <v>-0.9</v>
      </c>
      <c r="L23" s="75">
        <v>1.8694134615384613E-7</v>
      </c>
      <c r="M23" s="75">
        <v>0</v>
      </c>
    </row>
    <row r="24" spans="1:13">
      <c r="A24" s="73">
        <v>-0.85</v>
      </c>
      <c r="B24" s="73">
        <v>2.0521151999999998E-8</v>
      </c>
      <c r="C24" s="73">
        <v>0</v>
      </c>
      <c r="F24" s="74">
        <v>-0.85</v>
      </c>
      <c r="G24" s="74">
        <v>5.0478479999999998E-6</v>
      </c>
      <c r="H24" s="74">
        <v>0</v>
      </c>
      <c r="K24" s="75">
        <v>-0.85</v>
      </c>
      <c r="L24" s="75">
        <v>1.0024950320512819E-7</v>
      </c>
      <c r="M24" s="75">
        <v>0</v>
      </c>
    </row>
    <row r="25" spans="1:13">
      <c r="A25" s="73">
        <v>-0.8</v>
      </c>
      <c r="B25" s="73">
        <v>1.39508896E-10</v>
      </c>
      <c r="C25" s="73">
        <v>0</v>
      </c>
      <c r="F25" s="74">
        <v>-0.8</v>
      </c>
      <c r="G25" s="74">
        <v>2.7287152000000003E-6</v>
      </c>
      <c r="H25" s="74">
        <v>0</v>
      </c>
      <c r="K25" s="75">
        <v>-0.8</v>
      </c>
      <c r="L25" s="75">
        <v>1.0708092948717947E-7</v>
      </c>
      <c r="M25" s="75">
        <v>0</v>
      </c>
    </row>
    <row r="26" spans="1:13">
      <c r="A26" s="73">
        <v>-0.75</v>
      </c>
      <c r="B26" s="73">
        <v>4.4770128000000004E-8</v>
      </c>
      <c r="C26" s="73">
        <v>0</v>
      </c>
      <c r="F26" s="74">
        <v>-0.75</v>
      </c>
      <c r="G26" s="74">
        <v>6.0171696E-7</v>
      </c>
      <c r="H26" s="74">
        <v>0</v>
      </c>
      <c r="K26" s="75">
        <v>-0.75</v>
      </c>
      <c r="L26" s="75">
        <v>6.4439711538461542E-8</v>
      </c>
      <c r="M26" s="75">
        <v>0</v>
      </c>
    </row>
    <row r="27" spans="1:13">
      <c r="A27" s="73">
        <v>-0.7</v>
      </c>
      <c r="B27" s="73">
        <v>2.9003680000000002E-9</v>
      </c>
      <c r="C27" s="73">
        <v>0</v>
      </c>
      <c r="F27" s="74">
        <v>-0.7</v>
      </c>
      <c r="G27" s="74">
        <v>2.7019423999999999E-7</v>
      </c>
      <c r="H27" s="74">
        <v>0</v>
      </c>
      <c r="K27" s="75">
        <v>-0.7</v>
      </c>
      <c r="L27" s="75">
        <v>2.7395849358974355E-7</v>
      </c>
      <c r="M27" s="75">
        <v>0</v>
      </c>
    </row>
    <row r="28" spans="1:13">
      <c r="A28" s="73">
        <v>-0.65</v>
      </c>
      <c r="B28" s="73">
        <v>1.9257567999999999E-7</v>
      </c>
      <c r="C28" s="73">
        <v>0</v>
      </c>
      <c r="F28" s="74">
        <v>-0.65</v>
      </c>
      <c r="G28" s="74">
        <v>4.7426400000000002E-7</v>
      </c>
      <c r="H28" s="74">
        <v>0</v>
      </c>
      <c r="K28" s="75">
        <v>-0.65</v>
      </c>
      <c r="L28" s="75">
        <v>8.821358974358974E-8</v>
      </c>
      <c r="M28" s="75">
        <v>0</v>
      </c>
    </row>
    <row r="29" spans="1:13">
      <c r="A29" s="73">
        <v>-0.6</v>
      </c>
      <c r="B29" s="73">
        <v>5.0346671999999999E-6</v>
      </c>
      <c r="C29" s="73">
        <v>0</v>
      </c>
      <c r="F29" s="74">
        <v>-0.6</v>
      </c>
      <c r="G29" s="74">
        <v>6.1491184E-7</v>
      </c>
      <c r="H29" s="74">
        <v>0</v>
      </c>
      <c r="K29" s="75">
        <v>-0.6</v>
      </c>
      <c r="L29" s="75">
        <v>3.6053974358974361E-8</v>
      </c>
      <c r="M29" s="75">
        <v>0</v>
      </c>
    </row>
    <row r="30" spans="1:13">
      <c r="A30" s="73">
        <v>-0.55000000000000004</v>
      </c>
      <c r="B30" s="73">
        <v>2.2421183999999999E-6</v>
      </c>
      <c r="C30" s="73">
        <v>0</v>
      </c>
      <c r="F30" s="74">
        <v>-0.55000000000000004</v>
      </c>
      <c r="G30" s="74">
        <v>3.3158112000000005E-6</v>
      </c>
      <c r="H30" s="74">
        <v>0</v>
      </c>
      <c r="K30" s="75">
        <v>-0.55000000000000004</v>
      </c>
      <c r="L30" s="75">
        <v>1.0838201923076923E-7</v>
      </c>
      <c r="M30" s="75">
        <v>0</v>
      </c>
    </row>
    <row r="31" spans="1:13">
      <c r="A31" s="73">
        <v>-0.5</v>
      </c>
      <c r="B31" s="73">
        <v>8.2497248000000006E-7</v>
      </c>
      <c r="C31" s="73">
        <v>0</v>
      </c>
      <c r="F31" s="74">
        <v>-0.5</v>
      </c>
      <c r="G31" s="74">
        <v>3.2102896E-7</v>
      </c>
      <c r="H31" s="74">
        <v>0</v>
      </c>
      <c r="K31" s="75">
        <v>-0.5</v>
      </c>
      <c r="L31" s="75">
        <v>8.5611169871794873E-8</v>
      </c>
      <c r="M31" s="75">
        <v>0</v>
      </c>
    </row>
    <row r="32" spans="1:13">
      <c r="A32" s="73">
        <v>-0.45</v>
      </c>
      <c r="B32" s="73">
        <v>8.0085232000000008E-7</v>
      </c>
      <c r="C32" s="73">
        <v>0</v>
      </c>
      <c r="F32" s="74">
        <v>-0.45</v>
      </c>
      <c r="G32" s="74">
        <v>4.9651456000000001E-7</v>
      </c>
      <c r="H32" s="74">
        <v>0</v>
      </c>
      <c r="K32" s="75">
        <v>-0.45</v>
      </c>
      <c r="L32" s="75">
        <v>1.3505639423076924E-7</v>
      </c>
      <c r="M32" s="75">
        <v>0</v>
      </c>
    </row>
    <row r="33" spans="1:13">
      <c r="A33" s="73">
        <v>-0.4</v>
      </c>
      <c r="B33" s="73">
        <v>4.4526479999999999E-8</v>
      </c>
      <c r="C33" s="73">
        <v>0</v>
      </c>
      <c r="F33" s="74">
        <v>-0.4</v>
      </c>
      <c r="G33" s="74">
        <v>8.4651055999999994E-7</v>
      </c>
      <c r="H33" s="74">
        <v>0</v>
      </c>
      <c r="K33" s="75">
        <v>-0.4</v>
      </c>
      <c r="L33" s="75">
        <v>2.4829823717948714E-8</v>
      </c>
      <c r="M33" s="75">
        <v>0</v>
      </c>
    </row>
    <row r="34" spans="1:13">
      <c r="A34" s="73">
        <v>-0.35</v>
      </c>
      <c r="B34" s="73">
        <v>3.4444160000000001E-7</v>
      </c>
      <c r="C34" s="73">
        <v>0</v>
      </c>
      <c r="F34" s="74">
        <v>-0.35</v>
      </c>
      <c r="G34" s="74">
        <v>1.5570609599999999E-6</v>
      </c>
      <c r="H34" s="74">
        <v>0</v>
      </c>
      <c r="K34" s="75">
        <v>-0.35</v>
      </c>
      <c r="L34" s="75">
        <v>5.3347516025641025E-6</v>
      </c>
      <c r="M34" s="75">
        <v>0</v>
      </c>
    </row>
    <row r="35" spans="1:13">
      <c r="A35" s="73">
        <v>-0.3</v>
      </c>
      <c r="B35" s="73">
        <v>2.0965872000000001E-6</v>
      </c>
      <c r="C35" s="73">
        <v>0</v>
      </c>
      <c r="F35" s="74">
        <v>-0.3</v>
      </c>
      <c r="G35" s="74">
        <v>9.3108016000000007E-8</v>
      </c>
      <c r="H35" s="74">
        <v>0</v>
      </c>
      <c r="K35" s="75">
        <v>-0.3</v>
      </c>
      <c r="L35" s="75">
        <v>2.7076474358974356E-6</v>
      </c>
      <c r="M35" s="75">
        <v>0</v>
      </c>
    </row>
    <row r="36" spans="1:13">
      <c r="A36" s="73">
        <v>-0.25</v>
      </c>
      <c r="B36" s="73">
        <v>6.6474096E-7</v>
      </c>
      <c r="C36" s="73">
        <v>0</v>
      </c>
      <c r="F36" s="74">
        <v>-0.25</v>
      </c>
      <c r="G36" s="74">
        <v>1.1671531199999999E-7</v>
      </c>
      <c r="H36" s="74">
        <v>0</v>
      </c>
      <c r="K36" s="75">
        <v>-0.25</v>
      </c>
      <c r="L36" s="75">
        <v>1.4067844551282051E-6</v>
      </c>
      <c r="M36" s="75">
        <v>0</v>
      </c>
    </row>
    <row r="37" spans="1:13">
      <c r="A37" s="73">
        <v>-0.2</v>
      </c>
      <c r="B37" s="73">
        <v>3.5593183999999999E-8</v>
      </c>
      <c r="C37" s="73">
        <v>0</v>
      </c>
      <c r="F37" s="74">
        <v>-0.2</v>
      </c>
      <c r="G37" s="74">
        <v>1.7282992000000003E-9</v>
      </c>
      <c r="H37" s="74">
        <v>0</v>
      </c>
      <c r="K37" s="75">
        <v>-0.2</v>
      </c>
      <c r="L37" s="75">
        <v>6.9307419871794871E-7</v>
      </c>
      <c r="M37" s="75">
        <v>0</v>
      </c>
    </row>
    <row r="38" spans="1:13">
      <c r="A38" s="73">
        <v>-0.15</v>
      </c>
      <c r="B38" s="73">
        <v>1.2484486400000001E-7</v>
      </c>
      <c r="C38" s="73">
        <v>0</v>
      </c>
      <c r="F38" s="74">
        <v>-0.15</v>
      </c>
      <c r="G38" s="74">
        <v>6.1166431999999996E-7</v>
      </c>
      <c r="H38" s="74">
        <v>0</v>
      </c>
      <c r="K38" s="75">
        <v>-0.15</v>
      </c>
      <c r="L38" s="75">
        <v>1.5797429487179486E-7</v>
      </c>
      <c r="M38" s="75">
        <v>0</v>
      </c>
    </row>
    <row r="39" spans="1:13">
      <c r="A39" s="73">
        <v>-0.1</v>
      </c>
      <c r="B39" s="73">
        <v>2.9745919999999998E-8</v>
      </c>
      <c r="C39" s="73">
        <v>0</v>
      </c>
      <c r="F39" s="74">
        <v>-0.1</v>
      </c>
      <c r="G39" s="74">
        <v>4.3715296000000001E-7</v>
      </c>
      <c r="H39" s="74">
        <v>0</v>
      </c>
      <c r="K39" s="75">
        <v>-0.1</v>
      </c>
      <c r="L39" s="75">
        <v>5.2386778846153842E-7</v>
      </c>
      <c r="M39" s="75">
        <v>0</v>
      </c>
    </row>
    <row r="40" spans="1:13">
      <c r="A40" s="73">
        <v>-0.05</v>
      </c>
      <c r="B40" s="73">
        <v>1.3850716799999998E-7</v>
      </c>
      <c r="C40" s="73">
        <v>0</v>
      </c>
      <c r="F40" s="74">
        <v>-0.05</v>
      </c>
      <c r="G40" s="74">
        <v>3.5139983999999999E-7</v>
      </c>
      <c r="H40" s="74">
        <v>0</v>
      </c>
      <c r="K40" s="75">
        <v>-0.05</v>
      </c>
      <c r="L40" s="75">
        <v>7.103166666666667E-7</v>
      </c>
      <c r="M40" s="75">
        <v>0</v>
      </c>
    </row>
    <row r="41" spans="1:13">
      <c r="A41" s="73">
        <v>0</v>
      </c>
      <c r="B41" s="73">
        <v>4.0785296000000003E-7</v>
      </c>
      <c r="C41" s="73">
        <v>0</v>
      </c>
      <c r="F41" s="74">
        <v>0</v>
      </c>
      <c r="G41" s="74">
        <v>1.6139344E-7</v>
      </c>
      <c r="H41" s="74">
        <v>0</v>
      </c>
      <c r="K41" s="75">
        <v>-2.2204459999999999E-16</v>
      </c>
      <c r="L41" s="75">
        <v>2.6507387820512817E-6</v>
      </c>
      <c r="M41" s="75">
        <v>0</v>
      </c>
    </row>
    <row r="42" spans="1:13">
      <c r="A42" s="73">
        <v>0.05</v>
      </c>
      <c r="B42" s="73">
        <v>1.5141812799999997E-7</v>
      </c>
      <c r="C42" s="73">
        <v>0</v>
      </c>
      <c r="F42" s="74">
        <v>0.05</v>
      </c>
      <c r="G42" s="74">
        <v>1.7203024000000001E-7</v>
      </c>
      <c r="H42" s="74">
        <v>0</v>
      </c>
      <c r="K42" s="75">
        <v>0.05</v>
      </c>
      <c r="L42" s="75">
        <v>6.9749551282051279E-7</v>
      </c>
      <c r="M42" s="75">
        <v>0</v>
      </c>
    </row>
    <row r="43" spans="1:13">
      <c r="A43" s="73">
        <v>0.1</v>
      </c>
      <c r="B43" s="73">
        <v>1.12641328E-8</v>
      </c>
      <c r="C43" s="73">
        <v>0</v>
      </c>
      <c r="F43" s="74">
        <v>0.1</v>
      </c>
      <c r="G43" s="74">
        <v>1.6412623999999996E-6</v>
      </c>
      <c r="H43" s="74">
        <v>0</v>
      </c>
      <c r="K43" s="75">
        <v>0.1</v>
      </c>
      <c r="L43" s="75">
        <v>3.5910480769230772E-7</v>
      </c>
      <c r="M43" s="75">
        <v>0</v>
      </c>
    </row>
    <row r="44" spans="1:13">
      <c r="A44" s="73">
        <v>0.15</v>
      </c>
      <c r="B44" s="73">
        <v>8.2127616000000003E-8</v>
      </c>
      <c r="C44" s="73">
        <v>0</v>
      </c>
      <c r="F44" s="74">
        <v>0.15</v>
      </c>
      <c r="G44" s="74">
        <v>3.2504975999999998E-8</v>
      </c>
      <c r="H44" s="74">
        <v>0</v>
      </c>
      <c r="K44" s="75">
        <v>0.15</v>
      </c>
      <c r="L44" s="75">
        <v>2.5094326923076925E-7</v>
      </c>
      <c r="M44" s="75">
        <v>0</v>
      </c>
    </row>
    <row r="45" spans="1:13">
      <c r="A45" s="73">
        <v>0.2</v>
      </c>
      <c r="B45" s="73">
        <v>3.3838208000000002E-8</v>
      </c>
      <c r="C45" s="73">
        <v>0</v>
      </c>
      <c r="F45" s="74">
        <v>0.2</v>
      </c>
      <c r="G45" s="74">
        <v>8.3254320000000008E-7</v>
      </c>
      <c r="H45" s="74">
        <v>0</v>
      </c>
      <c r="K45" s="75">
        <v>0.2</v>
      </c>
      <c r="L45" s="75">
        <v>1.7767019230769233E-7</v>
      </c>
      <c r="M45" s="75">
        <v>0</v>
      </c>
    </row>
    <row r="46" spans="1:13">
      <c r="A46" s="73">
        <v>0.25</v>
      </c>
      <c r="B46" s="73">
        <v>6.477600000000001E-8</v>
      </c>
      <c r="C46" s="73">
        <v>0</v>
      </c>
      <c r="F46" s="74">
        <v>0.25</v>
      </c>
      <c r="G46" s="74">
        <v>8.9373056000000007E-8</v>
      </c>
      <c r="H46" s="74">
        <v>0</v>
      </c>
      <c r="K46" s="75">
        <v>0.25</v>
      </c>
      <c r="L46" s="75">
        <v>1.2049926282051282E-7</v>
      </c>
      <c r="M46" s="75">
        <v>0</v>
      </c>
    </row>
    <row r="47" spans="1:13">
      <c r="A47" s="73">
        <v>0.3</v>
      </c>
      <c r="B47" s="73">
        <v>6.469476799999999E-8</v>
      </c>
      <c r="C47" s="73">
        <v>0</v>
      </c>
      <c r="F47" s="74">
        <v>0.3</v>
      </c>
      <c r="G47" s="74">
        <v>4.3031311999999998E-7</v>
      </c>
      <c r="H47" s="74">
        <v>0</v>
      </c>
      <c r="K47" s="75">
        <v>0.3</v>
      </c>
      <c r="L47" s="75">
        <v>1.4448991987179489E-7</v>
      </c>
      <c r="M47" s="75">
        <v>0</v>
      </c>
    </row>
    <row r="48" spans="1:13">
      <c r="A48" s="73">
        <v>0.35</v>
      </c>
      <c r="B48" s="73">
        <v>7.2652576000000006E-8</v>
      </c>
      <c r="C48" s="73">
        <v>0</v>
      </c>
      <c r="F48" s="74">
        <v>0.35</v>
      </c>
      <c r="G48" s="74">
        <v>2.3007856E-7</v>
      </c>
      <c r="H48" s="74">
        <v>0</v>
      </c>
      <c r="K48" s="75">
        <v>0.35</v>
      </c>
      <c r="L48" s="75">
        <v>6.7882564102564103E-8</v>
      </c>
      <c r="M48" s="75">
        <v>0</v>
      </c>
    </row>
    <row r="49" spans="1:13">
      <c r="A49" s="73">
        <v>0.4</v>
      </c>
      <c r="B49" s="73">
        <v>2.758568E-8</v>
      </c>
      <c r="C49" s="73">
        <v>0</v>
      </c>
      <c r="F49" s="74">
        <v>0.4</v>
      </c>
      <c r="G49" s="74">
        <v>6.9574159999999999E-7</v>
      </c>
      <c r="H49" s="74">
        <v>0</v>
      </c>
      <c r="K49" s="75">
        <v>0.4</v>
      </c>
      <c r="L49" s="75">
        <v>1.108216826923077E-7</v>
      </c>
      <c r="M49" s="75">
        <v>0</v>
      </c>
    </row>
    <row r="50" spans="1:13">
      <c r="A50" s="73">
        <v>0.45</v>
      </c>
      <c r="B50" s="73">
        <v>4.7224592000000003E-7</v>
      </c>
      <c r="C50" s="73">
        <v>0</v>
      </c>
      <c r="F50" s="74">
        <v>0.45</v>
      </c>
      <c r="G50" s="74">
        <v>5.8003535999999999E-8</v>
      </c>
      <c r="H50" s="74">
        <v>0</v>
      </c>
      <c r="K50" s="75">
        <v>0.45</v>
      </c>
      <c r="L50" s="75">
        <v>6.3328301282051281E-8</v>
      </c>
      <c r="M50" s="75">
        <v>0</v>
      </c>
    </row>
    <row r="51" spans="1:13">
      <c r="A51" s="73">
        <v>0.5</v>
      </c>
      <c r="B51" s="73">
        <v>1.4427697600000002E-6</v>
      </c>
      <c r="C51" s="73">
        <v>0</v>
      </c>
      <c r="F51" s="74">
        <v>0.5</v>
      </c>
      <c r="G51" s="74">
        <v>2.3600656E-7</v>
      </c>
      <c r="H51" s="74">
        <v>0</v>
      </c>
      <c r="K51" s="75">
        <v>0.5</v>
      </c>
      <c r="L51" s="75">
        <v>9.5729679487179474E-9</v>
      </c>
      <c r="M51" s="75">
        <v>0</v>
      </c>
    </row>
    <row r="52" spans="1:13">
      <c r="A52" s="73">
        <v>0.55000000000000004</v>
      </c>
      <c r="B52" s="73">
        <v>1.35466576E-6</v>
      </c>
      <c r="C52" s="73">
        <v>0</v>
      </c>
      <c r="F52" s="74">
        <v>0.55000000000000004</v>
      </c>
      <c r="G52" s="74">
        <v>1.8728303999999998E-7</v>
      </c>
      <c r="H52" s="74">
        <v>0</v>
      </c>
      <c r="K52" s="75">
        <v>0.55000000000000004</v>
      </c>
      <c r="L52" s="75">
        <v>7.6502900641025629E-8</v>
      </c>
      <c r="M52" s="75">
        <v>0</v>
      </c>
    </row>
    <row r="53" spans="1:13">
      <c r="A53" s="73">
        <v>0.6</v>
      </c>
      <c r="B53" s="73">
        <v>3.0427744000000004E-8</v>
      </c>
      <c r="C53" s="73">
        <v>0</v>
      </c>
      <c r="F53" s="74">
        <v>0.6</v>
      </c>
      <c r="G53" s="74">
        <v>1.10787264E-7</v>
      </c>
      <c r="H53" s="74">
        <v>0</v>
      </c>
      <c r="K53" s="75">
        <v>0.6</v>
      </c>
      <c r="L53" s="75">
        <v>2.773735576923077E-7</v>
      </c>
      <c r="M53" s="75">
        <v>0</v>
      </c>
    </row>
    <row r="54" spans="1:13">
      <c r="A54" s="73">
        <v>0.65</v>
      </c>
      <c r="B54" s="73">
        <v>3.4139247999999998E-6</v>
      </c>
      <c r="C54" s="73">
        <v>0</v>
      </c>
      <c r="F54" s="74">
        <v>0.65</v>
      </c>
      <c r="G54" s="74">
        <v>9.2331007999999997E-9</v>
      </c>
      <c r="H54" s="74">
        <v>0</v>
      </c>
      <c r="K54" s="75">
        <v>0.65</v>
      </c>
      <c r="L54" s="75">
        <v>4.532629807692307E-6</v>
      </c>
      <c r="M54" s="75">
        <v>0</v>
      </c>
    </row>
    <row r="55" spans="1:13">
      <c r="A55" s="73">
        <v>0.7</v>
      </c>
      <c r="B55" s="73">
        <v>7.0846128000000002E-7</v>
      </c>
      <c r="C55" s="73">
        <v>0</v>
      </c>
      <c r="F55" s="74">
        <v>0.7</v>
      </c>
      <c r="G55" s="74">
        <v>3.8625855999999998E-8</v>
      </c>
      <c r="H55" s="74">
        <v>0</v>
      </c>
      <c r="K55" s="75">
        <v>0.7</v>
      </c>
      <c r="L55" s="75">
        <v>6.6945032051282049E-6</v>
      </c>
      <c r="M55" s="75">
        <v>0</v>
      </c>
    </row>
    <row r="56" spans="1:13">
      <c r="A56" s="73">
        <v>0.75</v>
      </c>
      <c r="B56" s="73">
        <v>3.6489728000000002E-7</v>
      </c>
      <c r="C56" s="73">
        <v>0</v>
      </c>
      <c r="F56" s="74">
        <v>0.75</v>
      </c>
      <c r="G56" s="74">
        <v>1.8002207999999998E-8</v>
      </c>
      <c r="H56" s="74">
        <v>0</v>
      </c>
      <c r="K56" s="75">
        <v>0.75</v>
      </c>
      <c r="L56" s="75">
        <v>1.9947788461538462E-6</v>
      </c>
      <c r="M56" s="75">
        <v>0</v>
      </c>
    </row>
    <row r="57" spans="1:13">
      <c r="A57" s="73">
        <v>0.8</v>
      </c>
      <c r="B57" s="73">
        <v>9.1629375999999994E-8</v>
      </c>
      <c r="C57" s="73">
        <v>0</v>
      </c>
      <c r="F57" s="74">
        <v>0.8</v>
      </c>
      <c r="G57" s="74">
        <v>4.2685695999999998E-8</v>
      </c>
      <c r="H57" s="74">
        <v>0</v>
      </c>
      <c r="K57" s="75">
        <v>0.8</v>
      </c>
      <c r="L57" s="75">
        <v>1.4411251602564103E-6</v>
      </c>
      <c r="M57" s="75">
        <v>0</v>
      </c>
    </row>
    <row r="58" spans="1:13">
      <c r="A58" s="73">
        <v>0.85</v>
      </c>
      <c r="B58" s="73">
        <v>3.1869743999999999E-7</v>
      </c>
      <c r="C58" s="73">
        <v>0</v>
      </c>
      <c r="F58" s="74">
        <v>0.85</v>
      </c>
      <c r="G58" s="74">
        <v>2.3178351999999999E-7</v>
      </c>
      <c r="H58" s="74">
        <v>0</v>
      </c>
      <c r="K58" s="75">
        <v>0.85</v>
      </c>
      <c r="L58" s="75">
        <v>4.0393541666666672E-6</v>
      </c>
      <c r="M58" s="75">
        <v>0</v>
      </c>
    </row>
    <row r="59" spans="1:13">
      <c r="A59" s="73">
        <v>0.9</v>
      </c>
      <c r="B59" s="73">
        <v>1.0129345599999999E-7</v>
      </c>
      <c r="C59" s="73">
        <v>0</v>
      </c>
      <c r="F59" s="74">
        <v>0.9</v>
      </c>
      <c r="G59" s="74">
        <v>1.1912543999999999E-8</v>
      </c>
      <c r="H59" s="74">
        <v>0</v>
      </c>
      <c r="K59" s="75">
        <v>0.9</v>
      </c>
      <c r="L59" s="75">
        <v>1.1596613782051281E-6</v>
      </c>
      <c r="M59" s="75">
        <v>0</v>
      </c>
    </row>
    <row r="60" spans="1:13">
      <c r="A60" s="73">
        <v>0.95</v>
      </c>
      <c r="B60" s="73">
        <v>8.5706000000000008E-7</v>
      </c>
      <c r="C60" s="73">
        <v>0</v>
      </c>
      <c r="F60" s="74">
        <v>0.95</v>
      </c>
      <c r="G60" s="74">
        <v>1.1655283199999998E-7</v>
      </c>
      <c r="H60" s="74">
        <v>0</v>
      </c>
      <c r="K60" s="75">
        <v>0.95</v>
      </c>
      <c r="L60" s="75">
        <v>2.9510256410256412E-7</v>
      </c>
      <c r="M60" s="75">
        <v>0</v>
      </c>
    </row>
    <row r="61" spans="1:13">
      <c r="A61" s="73">
        <v>1</v>
      </c>
      <c r="B61" s="73">
        <v>1.00972E-6</v>
      </c>
      <c r="C61" s="73">
        <v>0</v>
      </c>
      <c r="F61" s="74">
        <v>1</v>
      </c>
      <c r="G61" s="74">
        <v>3.3929280000000001E-7</v>
      </c>
      <c r="H61" s="74">
        <v>0</v>
      </c>
      <c r="K61" s="75">
        <v>1</v>
      </c>
      <c r="L61" s="75">
        <v>2.1402227564102567E-7</v>
      </c>
      <c r="M61" s="75">
        <v>0</v>
      </c>
    </row>
    <row r="62" spans="1:13">
      <c r="A62" s="73">
        <v>1.05</v>
      </c>
      <c r="B62" s="73">
        <v>2.3224255999999997E-6</v>
      </c>
      <c r="C62" s="73">
        <v>0</v>
      </c>
      <c r="F62" s="74">
        <v>1.05</v>
      </c>
      <c r="G62" s="74">
        <v>3.8189360000000001E-8</v>
      </c>
      <c r="H62" s="74">
        <v>0</v>
      </c>
      <c r="K62" s="75">
        <v>1.05</v>
      </c>
      <c r="L62" s="75">
        <v>2.2231746794871797E-7</v>
      </c>
      <c r="M62" s="75">
        <v>0</v>
      </c>
    </row>
    <row r="63" spans="1:13">
      <c r="A63" s="73">
        <v>1.1000000000000001</v>
      </c>
      <c r="B63" s="73">
        <v>5.9362240000000007E-6</v>
      </c>
      <c r="C63" s="73">
        <v>0</v>
      </c>
      <c r="F63" s="74">
        <v>1.1000000000000001</v>
      </c>
      <c r="G63" s="74">
        <v>8.3989344000000002E-8</v>
      </c>
      <c r="H63" s="74">
        <v>0</v>
      </c>
      <c r="K63" s="75">
        <v>1.1000000000000001</v>
      </c>
      <c r="L63" s="75">
        <v>1.6726073717948719E-7</v>
      </c>
      <c r="M63" s="75">
        <v>0</v>
      </c>
    </row>
    <row r="64" spans="1:13">
      <c r="A64" s="73">
        <v>1.1499999999999999</v>
      </c>
      <c r="B64" s="73">
        <v>1.5197681600000001E-5</v>
      </c>
      <c r="C64" s="73">
        <v>0</v>
      </c>
      <c r="F64" s="74">
        <v>1.1499999999999999</v>
      </c>
      <c r="G64" s="74">
        <v>8.6750367999999991E-8</v>
      </c>
      <c r="H64" s="74">
        <v>0</v>
      </c>
      <c r="K64" s="75">
        <v>1.1499999999999999</v>
      </c>
      <c r="L64" s="75">
        <v>1.3993591346153845E-7</v>
      </c>
      <c r="M64" s="75">
        <v>0</v>
      </c>
    </row>
    <row r="65" spans="1:18">
      <c r="A65" s="73">
        <v>1.2</v>
      </c>
      <c r="B65" s="73">
        <v>3.9068304000000004E-5</v>
      </c>
      <c r="C65" s="73">
        <v>0</v>
      </c>
      <c r="F65" s="74">
        <v>1.2</v>
      </c>
      <c r="G65" s="74">
        <v>5.6460607999999993E-8</v>
      </c>
      <c r="H65" s="74">
        <v>0</v>
      </c>
      <c r="K65" s="75">
        <v>1.2</v>
      </c>
      <c r="L65" s="75">
        <v>7.6584214743589751E-8</v>
      </c>
      <c r="M65" s="75">
        <v>0</v>
      </c>
    </row>
    <row r="66" spans="1:18">
      <c r="A66" s="73">
        <v>1.25</v>
      </c>
      <c r="B66" s="73">
        <v>1.03013616E-4</v>
      </c>
      <c r="C66" s="73">
        <v>0</v>
      </c>
      <c r="F66" s="74">
        <v>1.25</v>
      </c>
      <c r="G66" s="74">
        <v>3.7581904000000008E-9</v>
      </c>
      <c r="H66" s="74">
        <v>0</v>
      </c>
      <c r="K66" s="75">
        <v>1.25</v>
      </c>
      <c r="L66" s="75">
        <v>9.4312948717948715E-8</v>
      </c>
      <c r="M66" s="75">
        <v>0</v>
      </c>
    </row>
    <row r="67" spans="1:18">
      <c r="A67" s="73">
        <v>1.3</v>
      </c>
      <c r="B67" s="73">
        <v>2.600096E-4</v>
      </c>
      <c r="C67" s="73">
        <v>0</v>
      </c>
      <c r="F67" s="74">
        <v>1.3</v>
      </c>
      <c r="G67" s="74">
        <v>1.05368592E-7</v>
      </c>
      <c r="H67" s="74">
        <v>0</v>
      </c>
      <c r="K67" s="75">
        <v>1.3</v>
      </c>
      <c r="L67" s="75">
        <v>2.5004887820512819E-7</v>
      </c>
      <c r="M67" s="75">
        <v>0</v>
      </c>
    </row>
    <row r="68" spans="1:18">
      <c r="A68" s="73">
        <v>1.35</v>
      </c>
      <c r="B68" s="73">
        <v>6.3719568000000001E-4</v>
      </c>
      <c r="C68" s="73">
        <v>0</v>
      </c>
      <c r="F68" s="74">
        <v>1.35</v>
      </c>
      <c r="G68" s="74">
        <v>2.1823024000000001E-7</v>
      </c>
      <c r="H68" s="74">
        <v>0</v>
      </c>
      <c r="K68" s="75">
        <v>1.35</v>
      </c>
      <c r="L68" s="75">
        <v>1.1179751602564103E-7</v>
      </c>
      <c r="M68" s="75">
        <v>0</v>
      </c>
    </row>
    <row r="69" spans="1:18">
      <c r="A69" s="73">
        <v>1.4</v>
      </c>
      <c r="B69" s="73">
        <v>1.48998768E-3</v>
      </c>
      <c r="C69" s="73">
        <v>0</v>
      </c>
      <c r="F69" s="74">
        <v>1.4</v>
      </c>
      <c r="G69" s="74">
        <v>4.1236896000000002E-7</v>
      </c>
      <c r="H69" s="74">
        <v>0</v>
      </c>
      <c r="K69" s="75">
        <v>1.4</v>
      </c>
      <c r="L69" s="75">
        <v>9.9192371794871786E-8</v>
      </c>
      <c r="M69" s="75">
        <v>0</v>
      </c>
    </row>
    <row r="70" spans="1:18">
      <c r="A70" s="73">
        <v>1.45</v>
      </c>
      <c r="B70" s="73">
        <v>3.4622432000000003E-3</v>
      </c>
      <c r="C70" s="73">
        <v>0</v>
      </c>
      <c r="F70" s="74">
        <v>1.45</v>
      </c>
      <c r="G70" s="74">
        <v>8.8411471999999996E-7</v>
      </c>
      <c r="H70" s="74">
        <v>0</v>
      </c>
      <c r="K70" s="75">
        <v>1.45</v>
      </c>
      <c r="L70" s="75">
        <v>1.2456552884615385E-7</v>
      </c>
      <c r="M70" s="75">
        <v>0</v>
      </c>
    </row>
    <row r="71" spans="1:18">
      <c r="A71" s="73">
        <v>1.5</v>
      </c>
      <c r="B71" s="73">
        <v>8.0791648000000001E-3</v>
      </c>
      <c r="C71" s="73">
        <v>0</v>
      </c>
      <c r="F71" s="74">
        <v>1.5</v>
      </c>
      <c r="G71" s="74">
        <v>1.42455152E-6</v>
      </c>
      <c r="H71" s="74">
        <v>0</v>
      </c>
      <c r="K71" s="75">
        <v>1.5</v>
      </c>
      <c r="L71" s="75">
        <v>3.1478317307692312E-7</v>
      </c>
      <c r="M71" s="75">
        <v>0</v>
      </c>
    </row>
    <row r="72" spans="1:18">
      <c r="A72" s="73">
        <v>1.55</v>
      </c>
      <c r="B72" s="73">
        <v>2.1588080000000003E-2</v>
      </c>
      <c r="C72" s="73">
        <v>0</v>
      </c>
      <c r="F72" s="74">
        <v>1.55</v>
      </c>
      <c r="G72" s="74">
        <v>2.6545024E-6</v>
      </c>
      <c r="H72" s="74">
        <v>0</v>
      </c>
      <c r="K72" s="75">
        <v>1.55</v>
      </c>
      <c r="L72" s="75">
        <v>1.8811073717948718E-8</v>
      </c>
      <c r="M72" s="75">
        <v>0</v>
      </c>
    </row>
    <row r="73" spans="1:18">
      <c r="A73" s="73">
        <v>1.6</v>
      </c>
      <c r="B73" s="73">
        <v>4.9937184000000003E-2</v>
      </c>
      <c r="C73" s="73">
        <v>0.72780720762728346</v>
      </c>
      <c r="D73" s="76">
        <v>0.60948825253343164</v>
      </c>
      <c r="E73" s="76">
        <v>0.29390330389427044</v>
      </c>
      <c r="F73" s="74">
        <v>1.6</v>
      </c>
      <c r="G73" s="74">
        <v>6.1049839999999996E-6</v>
      </c>
      <c r="H73" s="74">
        <v>0</v>
      </c>
      <c r="K73" s="75">
        <v>1.6</v>
      </c>
      <c r="L73" s="75">
        <v>1.4774304487179485E-7</v>
      </c>
      <c r="M73" s="75">
        <v>0</v>
      </c>
      <c r="Q73" s="76">
        <v>0.60948729999999995</v>
      </c>
      <c r="R73" s="76">
        <v>0.29390769999999999</v>
      </c>
    </row>
    <row r="74" spans="1:18">
      <c r="A74" s="73">
        <v>1.65</v>
      </c>
      <c r="B74" s="73">
        <v>0.119275584</v>
      </c>
      <c r="C74" s="73">
        <v>1.1070817333192464</v>
      </c>
      <c r="D74" s="76">
        <v>0.67349603208636288</v>
      </c>
      <c r="E74" s="76">
        <v>0.3013077307708889</v>
      </c>
      <c r="F74" s="74">
        <v>1.65</v>
      </c>
      <c r="G74" s="74">
        <v>1.3823192000000002E-5</v>
      </c>
      <c r="H74" s="74">
        <v>0</v>
      </c>
      <c r="K74" s="75">
        <v>1.65</v>
      </c>
      <c r="L74" s="75">
        <v>1.8759182692307693E-7</v>
      </c>
      <c r="M74" s="75">
        <v>0</v>
      </c>
      <c r="Q74" s="76">
        <v>0.67349539999999997</v>
      </c>
      <c r="R74" s="76">
        <v>0.30130780000000001</v>
      </c>
    </row>
    <row r="75" spans="1:18">
      <c r="A75" s="73">
        <v>1.7</v>
      </c>
      <c r="B75" s="73">
        <v>0.29363215999999998</v>
      </c>
      <c r="C75" s="73">
        <v>1.618631948681027</v>
      </c>
      <c r="D75" s="76">
        <v>0.69150193887743494</v>
      </c>
      <c r="E75" s="76">
        <v>0.30803539046958633</v>
      </c>
      <c r="F75" s="74">
        <v>1.7</v>
      </c>
      <c r="G75" s="74">
        <v>3.0870431999999996E-5</v>
      </c>
      <c r="H75" s="74">
        <v>0</v>
      </c>
      <c r="K75" s="75">
        <v>1.7</v>
      </c>
      <c r="L75" s="75">
        <v>4.2019679487179488E-7</v>
      </c>
      <c r="M75" s="75">
        <v>0</v>
      </c>
      <c r="Q75" s="76">
        <v>0.69150219999999996</v>
      </c>
      <c r="R75" s="76">
        <v>0.30803520000000001</v>
      </c>
    </row>
    <row r="76" spans="1:18">
      <c r="A76" s="73">
        <v>1.75</v>
      </c>
      <c r="B76" s="73">
        <v>0.66402528000000005</v>
      </c>
      <c r="C76" s="73">
        <v>2.2934298779444027</v>
      </c>
      <c r="D76" s="76">
        <v>0.69240622536823182</v>
      </c>
      <c r="E76" s="76">
        <v>0.3074604648578283</v>
      </c>
      <c r="F76" s="74">
        <v>1.75</v>
      </c>
      <c r="G76" s="74">
        <v>6.8497584000000003E-5</v>
      </c>
      <c r="H76" s="74">
        <v>0</v>
      </c>
      <c r="K76" s="75">
        <v>1.75</v>
      </c>
      <c r="L76" s="75">
        <v>8.496065705128205E-8</v>
      </c>
      <c r="M76" s="75">
        <v>0</v>
      </c>
      <c r="Q76" s="76">
        <v>0.69240670000000004</v>
      </c>
      <c r="R76" s="76">
        <v>0.30746000000000001</v>
      </c>
    </row>
    <row r="77" spans="1:18">
      <c r="A77" s="73">
        <v>1.8</v>
      </c>
      <c r="B77" s="73">
        <v>1.53516096</v>
      </c>
      <c r="C77" s="73">
        <v>3.1856345586286938</v>
      </c>
      <c r="D77" s="76">
        <v>0.6925701418134862</v>
      </c>
      <c r="E77" s="76">
        <v>0.30729718203764583</v>
      </c>
      <c r="F77" s="74">
        <v>1.8</v>
      </c>
      <c r="G77" s="74">
        <v>1.57645328E-4</v>
      </c>
      <c r="H77" s="74">
        <v>0</v>
      </c>
      <c r="K77" s="75">
        <v>1.8</v>
      </c>
      <c r="L77" s="75">
        <v>6.2349038461538468E-7</v>
      </c>
      <c r="M77" s="75">
        <v>0</v>
      </c>
      <c r="Q77" s="76">
        <v>0.69256989999999996</v>
      </c>
      <c r="R77" s="76">
        <v>0.3072974</v>
      </c>
    </row>
    <row r="78" spans="1:18">
      <c r="A78" s="73">
        <v>1.85</v>
      </c>
      <c r="B78" s="73">
        <v>3.7959680000000002</v>
      </c>
      <c r="C78" s="73">
        <v>4.8589891312594897</v>
      </c>
      <c r="D78" s="76">
        <v>0.69268811911685357</v>
      </c>
      <c r="E78" s="76">
        <v>0.30717974040477447</v>
      </c>
      <c r="F78" s="74">
        <v>1.85</v>
      </c>
      <c r="G78" s="74">
        <v>3.7882736000000001E-4</v>
      </c>
      <c r="H78" s="74">
        <v>0</v>
      </c>
      <c r="K78" s="75">
        <v>1.85</v>
      </c>
      <c r="L78" s="75">
        <v>1.7114471153846154E-6</v>
      </c>
      <c r="M78" s="75">
        <v>0</v>
      </c>
      <c r="Q78" s="76">
        <v>0.692689</v>
      </c>
      <c r="R78" s="76">
        <v>0.30717889999999998</v>
      </c>
    </row>
    <row r="79" spans="1:18">
      <c r="A79" s="73">
        <v>1.9</v>
      </c>
      <c r="B79" s="73">
        <v>9.7618799999999997</v>
      </c>
      <c r="C79" s="73">
        <v>8.697790235039438</v>
      </c>
      <c r="D79" s="76">
        <v>0.69274292558102701</v>
      </c>
      <c r="E79" s="76">
        <v>0.30712510888220329</v>
      </c>
      <c r="F79" s="74">
        <v>1.9</v>
      </c>
      <c r="G79" s="74">
        <v>9.3724591999999997E-4</v>
      </c>
      <c r="H79" s="74">
        <v>0</v>
      </c>
      <c r="K79" s="75">
        <v>1.9</v>
      </c>
      <c r="L79" s="75">
        <v>2.5908060897435897E-6</v>
      </c>
      <c r="M79" s="75">
        <v>0</v>
      </c>
      <c r="Q79" s="76">
        <v>0.69274329999999995</v>
      </c>
      <c r="R79" s="76">
        <v>0.30712479999999998</v>
      </c>
    </row>
    <row r="80" spans="1:18">
      <c r="A80" s="73">
        <v>1.95</v>
      </c>
      <c r="B80" s="73">
        <v>20.521360000000001</v>
      </c>
      <c r="C80" s="73">
        <v>13.381309369781613</v>
      </c>
      <c r="D80" s="76">
        <v>0.69313742833636016</v>
      </c>
      <c r="E80" s="76">
        <v>0.30673218613351777</v>
      </c>
      <c r="F80" s="74">
        <v>1.95</v>
      </c>
      <c r="G80" s="74">
        <v>2.4437567999999999E-3</v>
      </c>
      <c r="H80" s="74">
        <v>0</v>
      </c>
      <c r="K80" s="75">
        <v>1.95</v>
      </c>
      <c r="L80" s="75">
        <v>4.2348557692307689E-6</v>
      </c>
      <c r="M80" s="75">
        <v>0</v>
      </c>
      <c r="Q80" s="76">
        <v>0.69313720000000001</v>
      </c>
      <c r="R80" s="76">
        <v>0.30673240000000002</v>
      </c>
    </row>
    <row r="81" spans="1:22">
      <c r="A81" s="73">
        <v>2</v>
      </c>
      <c r="B81" s="73">
        <v>34.928832</v>
      </c>
      <c r="C81" s="73">
        <v>16.16476270173257</v>
      </c>
      <c r="D81" s="76">
        <v>0.69363330642862608</v>
      </c>
      <c r="E81" s="76">
        <v>0.30623824934562471</v>
      </c>
      <c r="F81" s="74">
        <v>2</v>
      </c>
      <c r="G81" s="74">
        <v>6.7384431999999985E-3</v>
      </c>
      <c r="H81" s="74">
        <v>11.0999036013535</v>
      </c>
      <c r="I81" s="77">
        <v>0.23248758177434331</v>
      </c>
      <c r="J81" s="77">
        <v>0.68694861532643947</v>
      </c>
      <c r="K81" s="75">
        <v>2</v>
      </c>
      <c r="L81" s="75">
        <v>1.1544126602564102E-5</v>
      </c>
      <c r="M81" s="75">
        <v>0</v>
      </c>
      <c r="Q81" s="76">
        <v>0.69363339999999996</v>
      </c>
      <c r="R81" s="76">
        <v>0.30623810000000001</v>
      </c>
      <c r="S81" s="77">
        <v>0.23241300000000001</v>
      </c>
      <c r="T81" s="77">
        <v>0.68685410000000002</v>
      </c>
    </row>
    <row r="82" spans="1:22">
      <c r="A82" s="73">
        <v>2.0499999999999998</v>
      </c>
      <c r="B82" s="73">
        <v>51.292143999999993</v>
      </c>
      <c r="C82" s="73">
        <v>17.091617988488171</v>
      </c>
      <c r="D82" s="76">
        <v>0.69425799281362111</v>
      </c>
      <c r="E82" s="76">
        <v>0.30561604907650453</v>
      </c>
      <c r="F82" s="74">
        <v>2.0499999999999998</v>
      </c>
      <c r="G82" s="74">
        <v>2.0673359999999998E-2</v>
      </c>
      <c r="H82" s="74">
        <v>22.516160893501485</v>
      </c>
      <c r="I82" s="77">
        <v>0.21946712983120087</v>
      </c>
      <c r="J82" s="77">
        <v>0.72438181236519839</v>
      </c>
      <c r="K82" s="75">
        <v>2.0499999999999998</v>
      </c>
      <c r="L82" s="75">
        <v>2.5150336538461535E-5</v>
      </c>
      <c r="M82" s="75">
        <v>0</v>
      </c>
      <c r="Q82" s="76">
        <v>0.69425870000000001</v>
      </c>
      <c r="R82" s="76">
        <v>0.30561539999999998</v>
      </c>
      <c r="S82" s="77">
        <v>0.21938340000000001</v>
      </c>
      <c r="T82" s="77">
        <v>0.7242613</v>
      </c>
    </row>
    <row r="83" spans="1:22">
      <c r="A83" s="73">
        <v>2.1</v>
      </c>
      <c r="B83" s="73">
        <v>67.828384000000014</v>
      </c>
      <c r="C83" s="73">
        <v>17.466997286412788</v>
      </c>
      <c r="D83" s="76">
        <v>0.69482859133211883</v>
      </c>
      <c r="E83" s="76">
        <v>0.30504764483678865</v>
      </c>
      <c r="F83" s="74">
        <v>2.1</v>
      </c>
      <c r="G83" s="74">
        <v>7.0968576000000005E-2</v>
      </c>
      <c r="H83" s="74">
        <v>39.946952087064773</v>
      </c>
      <c r="I83" s="77">
        <v>0.2080256909644384</v>
      </c>
      <c r="J83" s="77">
        <v>0.73932730921773326</v>
      </c>
      <c r="K83" s="75">
        <v>2.1</v>
      </c>
      <c r="L83" s="75">
        <v>5.9872996794871794E-5</v>
      </c>
      <c r="M83" s="75">
        <v>0</v>
      </c>
      <c r="Q83" s="76">
        <v>0.69482949999999999</v>
      </c>
      <c r="R83" s="76">
        <v>0.30504680000000001</v>
      </c>
      <c r="S83" s="77">
        <v>0.20794090000000001</v>
      </c>
      <c r="T83" s="77">
        <v>0.73920079999999999</v>
      </c>
    </row>
    <row r="84" spans="1:22">
      <c r="A84" s="73">
        <v>2.15</v>
      </c>
      <c r="B84" s="73">
        <v>84.999679999999998</v>
      </c>
      <c r="C84" s="73">
        <v>17.608962894820607</v>
      </c>
      <c r="D84" s="76">
        <v>0.69527114962932179</v>
      </c>
      <c r="E84" s="76">
        <v>0.30460663092842244</v>
      </c>
      <c r="F84" s="74">
        <v>2.15</v>
      </c>
      <c r="G84" s="74">
        <v>0.24001552000000001</v>
      </c>
      <c r="H84" s="74">
        <v>62.282437817366528</v>
      </c>
      <c r="I84" s="77">
        <v>0.20509374511244288</v>
      </c>
      <c r="J84" s="77">
        <v>0.74124282149917697</v>
      </c>
      <c r="K84" s="75">
        <v>2.15</v>
      </c>
      <c r="L84" s="75">
        <v>1.4837996794871795E-4</v>
      </c>
      <c r="M84" s="75">
        <v>0</v>
      </c>
      <c r="Q84" s="76">
        <v>0.69527159999999999</v>
      </c>
      <c r="R84" s="76">
        <v>0.30460609999999999</v>
      </c>
      <c r="S84" s="77">
        <v>0.2050091</v>
      </c>
      <c r="T84" s="77">
        <v>0.74111729999999998</v>
      </c>
    </row>
    <row r="85" spans="1:22">
      <c r="A85" s="73">
        <v>2.2000000000000002</v>
      </c>
      <c r="B85" s="73">
        <v>103.62316800000001</v>
      </c>
      <c r="C85" s="73">
        <v>17.414336560980043</v>
      </c>
      <c r="D85" s="76">
        <v>0.69595737437673055</v>
      </c>
      <c r="E85" s="76">
        <v>0.30392293459544634</v>
      </c>
      <c r="F85" s="74">
        <v>2.2000000000000002</v>
      </c>
      <c r="G85" s="74">
        <v>0.71848495999999995</v>
      </c>
      <c r="H85" s="74">
        <v>82.270531855716712</v>
      </c>
      <c r="I85" s="77">
        <v>0.19703141909838615</v>
      </c>
      <c r="J85" s="77">
        <v>0.74561338825960044</v>
      </c>
      <c r="K85" s="75">
        <v>2.2000000000000002</v>
      </c>
      <c r="L85" s="75">
        <v>3.8425064102564103E-4</v>
      </c>
      <c r="M85" s="75">
        <v>0</v>
      </c>
      <c r="Q85" s="76">
        <v>0.69595779999999996</v>
      </c>
      <c r="R85" s="76">
        <v>0.30392249999999998</v>
      </c>
      <c r="S85" s="77">
        <v>0.19695360000000001</v>
      </c>
      <c r="T85" s="77">
        <v>0.74548939999999997</v>
      </c>
    </row>
    <row r="86" spans="1:22">
      <c r="F86" s="74">
        <v>2.25</v>
      </c>
      <c r="G86" s="74">
        <v>1.7347264</v>
      </c>
      <c r="H86" s="74">
        <v>93.730465650491752</v>
      </c>
      <c r="I86" s="77">
        <v>0.18972249129738078</v>
      </c>
      <c r="J86" s="77">
        <v>0.74836246786912453</v>
      </c>
      <c r="K86" s="75">
        <v>2.25</v>
      </c>
      <c r="L86" s="75">
        <v>1.0762067307692306E-3</v>
      </c>
      <c r="M86" s="75">
        <v>0</v>
      </c>
      <c r="S86" s="77">
        <v>0.1896504</v>
      </c>
      <c r="T86" s="77">
        <v>0.74824120000000005</v>
      </c>
    </row>
    <row r="87" spans="1:22">
      <c r="F87" s="74">
        <v>2.2999999999999998</v>
      </c>
      <c r="G87" s="74">
        <v>3.3428991999999997</v>
      </c>
      <c r="H87" s="74">
        <v>97.345181916919344</v>
      </c>
      <c r="I87" s="77">
        <v>0.18186481444489577</v>
      </c>
      <c r="J87" s="77">
        <v>0.75069483771125112</v>
      </c>
      <c r="K87" s="75">
        <v>2.2999999999999998</v>
      </c>
      <c r="L87" s="75">
        <v>3.342415064102564E-3</v>
      </c>
      <c r="M87" s="75">
        <v>0</v>
      </c>
      <c r="S87" s="77">
        <v>0.1817993</v>
      </c>
      <c r="T87" s="77">
        <v>0.75057989999999997</v>
      </c>
    </row>
    <row r="88" spans="1:22">
      <c r="F88" s="74">
        <v>2.35</v>
      </c>
      <c r="G88" s="74">
        <v>5.4936591999999997</v>
      </c>
      <c r="H88" s="74">
        <v>97.125669010491379</v>
      </c>
      <c r="I88" s="77">
        <v>0.17502810291593809</v>
      </c>
      <c r="J88" s="77">
        <v>0.75249508150700983</v>
      </c>
      <c r="K88" s="75">
        <v>2.35</v>
      </c>
      <c r="L88" s="75">
        <v>1.2061439102564103E-2</v>
      </c>
      <c r="M88" s="75">
        <v>0</v>
      </c>
      <c r="S88" s="77">
        <v>0.1749658</v>
      </c>
      <c r="T88" s="77">
        <v>0.75238320000000003</v>
      </c>
    </row>
    <row r="89" spans="1:22">
      <c r="F89" s="74">
        <v>2.4</v>
      </c>
      <c r="G89" s="74">
        <v>8.1726159999999997</v>
      </c>
      <c r="H89" s="74">
        <v>95.229999054067591</v>
      </c>
      <c r="I89" s="77">
        <v>0.16996066959846845</v>
      </c>
      <c r="J89" s="77">
        <v>0.75206476359423147</v>
      </c>
      <c r="K89" s="75">
        <v>2.4</v>
      </c>
      <c r="L89" s="75">
        <v>4.9342403846153848E-2</v>
      </c>
      <c r="M89" s="75">
        <v>0</v>
      </c>
      <c r="S89" s="77">
        <v>0.16990079999999999</v>
      </c>
      <c r="T89" s="77">
        <v>0.7519576</v>
      </c>
    </row>
    <row r="90" spans="1:22">
      <c r="F90" s="74">
        <v>2.4500000000000002</v>
      </c>
      <c r="G90" s="74">
        <v>11.3849936</v>
      </c>
      <c r="H90" s="74">
        <v>92.572316122158114</v>
      </c>
      <c r="I90" s="77">
        <v>0.16501379535536287</v>
      </c>
      <c r="J90" s="77">
        <v>0.7521241324158866</v>
      </c>
      <c r="K90" s="75">
        <v>2.4500000000000002</v>
      </c>
      <c r="L90" s="75">
        <v>0.21083076923076924</v>
      </c>
      <c r="M90" s="75">
        <v>10.651357218078811</v>
      </c>
      <c r="N90" s="78">
        <v>0.13702877053524695</v>
      </c>
      <c r="O90" s="78">
        <v>4.6722452462916064E-2</v>
      </c>
      <c r="S90" s="77">
        <v>0.1649535</v>
      </c>
      <c r="T90" s="77">
        <v>0.75202179999999996</v>
      </c>
      <c r="U90" s="75">
        <v>0.13702919999999999</v>
      </c>
      <c r="V90" s="75">
        <v>4.672171E-2</v>
      </c>
    </row>
    <row r="91" spans="1:22">
      <c r="F91" s="74">
        <v>2.5</v>
      </c>
      <c r="G91" s="74">
        <v>15.2352688</v>
      </c>
      <c r="H91" s="74">
        <v>89.455683486653356</v>
      </c>
      <c r="I91" s="77">
        <v>0.16082573525862043</v>
      </c>
      <c r="J91" s="77">
        <v>0.75081094515140623</v>
      </c>
      <c r="K91" s="75">
        <v>2.5</v>
      </c>
      <c r="L91" s="75">
        <v>0.84578589743589738</v>
      </c>
      <c r="M91" s="75">
        <v>12.838775864159734</v>
      </c>
      <c r="N91" s="78">
        <v>0.13687059335980595</v>
      </c>
      <c r="O91" s="78">
        <v>4.7308053151542559E-2</v>
      </c>
      <c r="S91" s="77">
        <v>0.16077430000000001</v>
      </c>
      <c r="T91" s="77">
        <v>0.75070559999999997</v>
      </c>
      <c r="U91" s="75">
        <v>0.13687060000000001</v>
      </c>
      <c r="V91" s="75">
        <v>4.7307589999999997E-2</v>
      </c>
    </row>
    <row r="92" spans="1:22">
      <c r="F92" s="74">
        <v>2.5499999999999998</v>
      </c>
      <c r="G92" s="74">
        <v>19.888255999999998</v>
      </c>
      <c r="H92" s="74">
        <v>86.094476221321088</v>
      </c>
      <c r="I92" s="77">
        <v>0.1574261991075652</v>
      </c>
      <c r="J92" s="77">
        <v>0.74987623148615379</v>
      </c>
      <c r="K92" s="75">
        <v>2.5499999999999998</v>
      </c>
      <c r="L92" s="75">
        <v>2.7443237179487179</v>
      </c>
      <c r="M92" s="75">
        <v>13.75799800082369</v>
      </c>
      <c r="N92" s="78">
        <v>0.13715392302527402</v>
      </c>
      <c r="O92" s="78">
        <v>4.6745016880583169E-2</v>
      </c>
      <c r="S92" s="77">
        <v>0.15737660000000001</v>
      </c>
      <c r="T92" s="77">
        <v>0.74977439999999995</v>
      </c>
      <c r="U92" s="75">
        <v>0.13715479999999999</v>
      </c>
      <c r="V92" s="75">
        <v>4.6743600000000003E-2</v>
      </c>
    </row>
    <row r="93" spans="1:22">
      <c r="F93" s="74">
        <v>2.6</v>
      </c>
      <c r="G93" s="74">
        <v>25.486224000000004</v>
      </c>
      <c r="H93" s="74">
        <v>82.858471691001554</v>
      </c>
      <c r="I93" s="77">
        <v>0.15426595431242995</v>
      </c>
      <c r="J93" s="77">
        <v>0.74803422272980202</v>
      </c>
      <c r="K93" s="75">
        <v>2.6</v>
      </c>
      <c r="L93" s="75">
        <v>6.7207980769230771</v>
      </c>
      <c r="M93" s="75">
        <v>13.950709391142249</v>
      </c>
      <c r="N93" s="78">
        <v>0.13756756863761069</v>
      </c>
      <c r="O93" s="78">
        <v>4.6044267422174677E-2</v>
      </c>
      <c r="S93" s="77">
        <v>0.15421380000000001</v>
      </c>
      <c r="T93" s="77">
        <v>0.7479384</v>
      </c>
      <c r="U93" s="75">
        <v>0.13756769999999999</v>
      </c>
      <c r="V93" s="75">
        <v>4.6044410000000001E-2</v>
      </c>
    </row>
    <row r="94" spans="1:22">
      <c r="F94" s="74">
        <v>2.65</v>
      </c>
      <c r="G94" s="74">
        <v>32.327503999999998</v>
      </c>
      <c r="H94" s="74">
        <v>79.247835481007769</v>
      </c>
      <c r="I94" s="77">
        <v>0.15100910101033221</v>
      </c>
      <c r="J94" s="77">
        <v>0.74602400149849568</v>
      </c>
      <c r="K94" s="75">
        <v>2.65</v>
      </c>
      <c r="L94" s="75">
        <v>13.216145833333334</v>
      </c>
      <c r="M94" s="75">
        <v>13.740818160061863</v>
      </c>
      <c r="N94" s="78">
        <v>0.13819631849217553</v>
      </c>
      <c r="O94" s="78">
        <v>4.5038073280051966E-2</v>
      </c>
      <c r="S94" s="77">
        <v>0.15096100000000001</v>
      </c>
      <c r="T94" s="77">
        <v>0.74593109999999996</v>
      </c>
      <c r="U94" s="75">
        <v>0.13819619999999999</v>
      </c>
      <c r="V94" s="75">
        <v>4.5038549999999997E-2</v>
      </c>
    </row>
    <row r="95" spans="1:22">
      <c r="F95" s="74">
        <v>2.7</v>
      </c>
      <c r="G95" s="74">
        <v>40.872320000000002</v>
      </c>
      <c r="H95" s="74">
        <v>75.74667495466592</v>
      </c>
      <c r="I95" s="77">
        <v>0.14833657847575138</v>
      </c>
      <c r="J95" s="77">
        <v>0.74305302122314754</v>
      </c>
      <c r="K95" s="75">
        <v>2.7</v>
      </c>
      <c r="L95" s="75">
        <v>22.488814102564103</v>
      </c>
      <c r="M95" s="75">
        <v>13.333125623087563</v>
      </c>
      <c r="N95" s="78">
        <v>0.13876717703868546</v>
      </c>
      <c r="O95" s="78">
        <v>4.4063388863700509E-2</v>
      </c>
      <c r="S95" s="77">
        <v>0.14829210000000001</v>
      </c>
      <c r="T95" s="77">
        <v>0.74296309999999999</v>
      </c>
      <c r="U95" s="75">
        <v>0.1387669</v>
      </c>
      <c r="V95" s="75">
        <v>4.4063940000000003E-2</v>
      </c>
    </row>
    <row r="96" spans="1:22">
      <c r="F96" s="74">
        <v>2.75</v>
      </c>
      <c r="G96" s="74">
        <v>51.546991999999996</v>
      </c>
      <c r="H96" s="74">
        <v>72.093474674761467</v>
      </c>
      <c r="I96" s="77">
        <v>0.14573385907902978</v>
      </c>
      <c r="J96" s="77">
        <v>0.74004643004401316</v>
      </c>
      <c r="K96" s="75">
        <v>2.75</v>
      </c>
      <c r="L96" s="75">
        <v>34.864182692307693</v>
      </c>
      <c r="M96" s="75">
        <v>12.896721307798762</v>
      </c>
      <c r="N96" s="78">
        <v>0.13927290311536736</v>
      </c>
      <c r="O96" s="78">
        <v>4.3435937963527647E-2</v>
      </c>
      <c r="S96" s="77">
        <v>0.14568710000000001</v>
      </c>
      <c r="T96" s="77">
        <v>0.73995659999999996</v>
      </c>
      <c r="U96" s="75">
        <v>0.13927320000000001</v>
      </c>
      <c r="V96" s="75">
        <v>4.3435460000000002E-2</v>
      </c>
    </row>
    <row r="97" spans="6:22">
      <c r="F97" s="74">
        <v>2.8</v>
      </c>
      <c r="G97" s="74">
        <v>65.004543999999996</v>
      </c>
      <c r="H97" s="74">
        <v>68.239745166400539</v>
      </c>
      <c r="I97" s="77">
        <v>0.14360198294303966</v>
      </c>
      <c r="J97" s="77">
        <v>0.73606295716200665</v>
      </c>
      <c r="K97" s="75">
        <v>2.8</v>
      </c>
      <c r="L97" s="75">
        <v>50.796025641025636</v>
      </c>
      <c r="M97" s="75">
        <v>12.365163975013495</v>
      </c>
      <c r="N97" s="78">
        <v>0.13968464179824006</v>
      </c>
      <c r="O97" s="78">
        <v>4.2854527663088719E-2</v>
      </c>
      <c r="S97" s="77">
        <v>0.14355660000000001</v>
      </c>
      <c r="T97" s="77">
        <v>0.73597659999999998</v>
      </c>
      <c r="U97" s="75">
        <v>0.13968439999999999</v>
      </c>
      <c r="V97" s="75">
        <v>4.2854999999999997E-2</v>
      </c>
    </row>
    <row r="98" spans="6:22">
      <c r="F98" s="74">
        <v>2.85</v>
      </c>
      <c r="G98" s="74">
        <v>82.818543999999989</v>
      </c>
      <c r="H98" s="74">
        <v>64.511481715905802</v>
      </c>
      <c r="I98" s="77">
        <v>0.14206513168454815</v>
      </c>
      <c r="J98" s="77">
        <v>0.7308393942340895</v>
      </c>
      <c r="K98" s="75">
        <v>2.85</v>
      </c>
      <c r="L98" s="75">
        <v>71.124391025641017</v>
      </c>
      <c r="M98" s="75">
        <v>11.79612945856169</v>
      </c>
      <c r="N98" s="78">
        <v>0.13993199899887743</v>
      </c>
      <c r="O98" s="78">
        <v>4.2637405607297167E-2</v>
      </c>
      <c r="S98" s="77">
        <v>0.14202390000000001</v>
      </c>
      <c r="T98" s="77">
        <v>0.73075509999999999</v>
      </c>
      <c r="U98" s="75">
        <v>0.13993230000000001</v>
      </c>
      <c r="V98" s="75">
        <v>4.2637729999999999E-2</v>
      </c>
    </row>
    <row r="99" spans="6:22">
      <c r="F99" s="74">
        <v>2.9</v>
      </c>
      <c r="G99" s="74">
        <v>106.38193599999998</v>
      </c>
      <c r="H99" s="74">
        <v>60.510101089038173</v>
      </c>
      <c r="I99" s="77">
        <v>0.14106980951519377</v>
      </c>
      <c r="J99" s="77">
        <v>0.7248682681303793</v>
      </c>
      <c r="S99" s="77">
        <v>0.14102500000000001</v>
      </c>
      <c r="T99" s="77">
        <v>0.72478600000000004</v>
      </c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2"/>
  <dimension ref="A1:K18"/>
  <sheetViews>
    <sheetView zoomScale="115" zoomScaleNormal="115" workbookViewId="0">
      <selection activeCell="H21" sqref="H21"/>
    </sheetView>
  </sheetViews>
  <sheetFormatPr defaultColWidth="9" defaultRowHeight="16.5"/>
  <cols>
    <col min="1" max="1" width="6" style="4" bestFit="1" customWidth="1"/>
    <col min="2" max="4" width="7" style="4" bestFit="1" customWidth="1"/>
    <col min="5" max="5" width="7.875" style="3" bestFit="1" customWidth="1"/>
    <col min="6" max="7" width="7" style="4" bestFit="1" customWidth="1"/>
    <col min="8" max="8" width="6.375" style="46" bestFit="1" customWidth="1"/>
    <col min="9" max="9" width="7.125" style="47" bestFit="1" customWidth="1"/>
    <col min="10" max="10" width="6.375" style="48" bestFit="1" customWidth="1"/>
    <col min="11" max="11" width="7.125" style="4" customWidth="1"/>
    <col min="12" max="16384" width="9" style="4"/>
  </cols>
  <sheetData>
    <row r="1" spans="1:11">
      <c r="B1" s="4" t="s">
        <v>67</v>
      </c>
      <c r="C1" s="4" t="s">
        <v>68</v>
      </c>
      <c r="D1" s="4" t="s">
        <v>69</v>
      </c>
      <c r="E1" s="55" t="s">
        <v>70</v>
      </c>
      <c r="F1" s="4" t="s">
        <v>71</v>
      </c>
      <c r="G1" s="4" t="s">
        <v>72</v>
      </c>
      <c r="H1" s="46" t="s">
        <v>79</v>
      </c>
      <c r="I1" s="47" t="s">
        <v>80</v>
      </c>
      <c r="J1" s="48" t="s">
        <v>81</v>
      </c>
    </row>
    <row r="2" spans="1:11">
      <c r="A2" s="72">
        <v>0</v>
      </c>
      <c r="B2" s="10">
        <v>0</v>
      </c>
      <c r="C2" s="10">
        <v>0</v>
      </c>
      <c r="D2" s="10">
        <v>0</v>
      </c>
      <c r="E2" s="56">
        <v>0</v>
      </c>
      <c r="F2" s="10">
        <v>0</v>
      </c>
      <c r="G2" s="10">
        <v>0</v>
      </c>
      <c r="H2" s="49">
        <v>0</v>
      </c>
      <c r="I2" s="50">
        <v>0</v>
      </c>
      <c r="J2" s="51">
        <v>0</v>
      </c>
      <c r="K2" s="10"/>
    </row>
    <row r="3" spans="1:11">
      <c r="A3" s="72">
        <v>16</v>
      </c>
      <c r="B3" s="10">
        <f>($A3/256)^1.6</f>
        <v>1.1841535675862489E-2</v>
      </c>
      <c r="C3" s="10">
        <f>($A3/256)^1.8</f>
        <v>6.8011762757509715E-3</v>
      </c>
      <c r="D3" s="10">
        <f>($A3/256)^2</f>
        <v>3.90625E-3</v>
      </c>
      <c r="E3" s="56">
        <f>($A3/256)^2.2</f>
        <v>2.2435514746035842E-3</v>
      </c>
      <c r="F3" s="10">
        <f>($A3/256)^2.4</f>
        <v>1.2885819441141547E-3</v>
      </c>
      <c r="G3" s="10">
        <f>($A3/256)^2.6</f>
        <v>7.4009597974140527E-4</v>
      </c>
      <c r="H3" s="52"/>
      <c r="I3" s="53"/>
      <c r="J3" s="54"/>
      <c r="K3" s="38"/>
    </row>
    <row r="4" spans="1:11">
      <c r="A4" s="72">
        <v>32</v>
      </c>
      <c r="B4" s="10">
        <f t="shared" ref="B4:B18" si="0">($A4/256)^1.6</f>
        <v>3.5896823593657347E-2</v>
      </c>
      <c r="C4" s="10">
        <f t="shared" ref="C4:C18" si="1">($A4/256)^1.8</f>
        <v>2.3683071351724979E-2</v>
      </c>
      <c r="D4" s="10">
        <f t="shared" ref="D4:D18" si="2">($A4/256)^2</f>
        <v>1.5625E-2</v>
      </c>
      <c r="E4" s="56">
        <f t="shared" ref="E4:E18" si="3">($A4/256)^2.2</f>
        <v>1.0308655552913239E-2</v>
      </c>
      <c r="F4" s="10">
        <f t="shared" ref="F4:F18" si="4">($A4/256)^2.4</f>
        <v>6.8011762757509715E-3</v>
      </c>
      <c r="G4" s="10">
        <f t="shared" ref="G4:G18" si="5">($A4/256)^2.6</f>
        <v>4.4871029492071692E-3</v>
      </c>
      <c r="H4" s="49"/>
      <c r="I4" s="50"/>
      <c r="J4" s="51"/>
      <c r="K4" s="38"/>
    </row>
    <row r="5" spans="1:11">
      <c r="A5" s="72">
        <v>48</v>
      </c>
      <c r="B5" s="10">
        <f t="shared" si="0"/>
        <v>6.8675532458988775E-2</v>
      </c>
      <c r="C5" s="10">
        <f t="shared" si="1"/>
        <v>4.9136281788626661E-2</v>
      </c>
      <c r="D5" s="10">
        <f t="shared" si="2"/>
        <v>3.515625E-2</v>
      </c>
      <c r="E5" s="56">
        <f t="shared" si="3"/>
        <v>2.5153753378803309E-2</v>
      </c>
      <c r="F5" s="10">
        <f t="shared" si="4"/>
        <v>1.7997121679407202E-2</v>
      </c>
      <c r="G5" s="10">
        <f t="shared" si="5"/>
        <v>1.2876662336060394E-2</v>
      </c>
      <c r="H5" s="49"/>
      <c r="I5" s="50"/>
      <c r="J5" s="51"/>
      <c r="K5" s="38"/>
    </row>
    <row r="6" spans="1:11">
      <c r="A6" s="72">
        <v>64</v>
      </c>
      <c r="B6" s="10">
        <f t="shared" si="0"/>
        <v>0.10881882041201553</v>
      </c>
      <c r="C6" s="10">
        <f t="shared" si="1"/>
        <v>8.2469244423305901E-2</v>
      </c>
      <c r="D6" s="10">
        <f t="shared" si="2"/>
        <v>6.25E-2</v>
      </c>
      <c r="E6" s="56">
        <f t="shared" si="3"/>
        <v>4.7366142703449944E-2</v>
      </c>
      <c r="F6" s="10">
        <f t="shared" si="4"/>
        <v>3.5896823593657347E-2</v>
      </c>
      <c r="G6" s="10">
        <f t="shared" si="5"/>
        <v>2.7204705103003879E-2</v>
      </c>
      <c r="H6" s="49"/>
      <c r="I6" s="50"/>
      <c r="J6" s="51"/>
      <c r="K6" s="38"/>
    </row>
    <row r="7" spans="1:11">
      <c r="A7" s="72">
        <v>80</v>
      </c>
      <c r="B7" s="10">
        <f t="shared" si="0"/>
        <v>0.15551061349745987</v>
      </c>
      <c r="C7" s="10">
        <f t="shared" si="1"/>
        <v>0.12323385634378772</v>
      </c>
      <c r="D7" s="10">
        <f t="shared" si="2"/>
        <v>9.765625E-2</v>
      </c>
      <c r="E7" s="56">
        <f t="shared" si="3"/>
        <v>7.7387362913140287E-2</v>
      </c>
      <c r="F7" s="10">
        <f t="shared" si="4"/>
        <v>6.1325352331776856E-2</v>
      </c>
      <c r="G7" s="10">
        <f t="shared" si="5"/>
        <v>4.8597066717956196E-2</v>
      </c>
      <c r="H7" s="49"/>
      <c r="I7" s="50"/>
      <c r="J7" s="51"/>
      <c r="K7" s="38"/>
    </row>
    <row r="8" spans="1:11">
      <c r="A8" s="72">
        <v>96</v>
      </c>
      <c r="B8" s="10">
        <f t="shared" si="0"/>
        <v>0.20818528452402374</v>
      </c>
      <c r="C8" s="10">
        <f t="shared" si="1"/>
        <v>0.17110247115746413</v>
      </c>
      <c r="D8" s="10">
        <f t="shared" si="2"/>
        <v>0.140625</v>
      </c>
      <c r="E8" s="56">
        <f t="shared" si="3"/>
        <v>0.11557630051292991</v>
      </c>
      <c r="F8" s="10">
        <f t="shared" si="4"/>
        <v>9.4989377708480663E-2</v>
      </c>
      <c r="G8" s="10">
        <f t="shared" si="5"/>
        <v>7.8069481696508902E-2</v>
      </c>
      <c r="H8" s="49"/>
      <c r="I8" s="50"/>
      <c r="J8" s="51"/>
      <c r="K8" s="38"/>
    </row>
    <row r="9" spans="1:11">
      <c r="A9" s="72">
        <v>112</v>
      </c>
      <c r="B9" s="10">
        <f t="shared" si="0"/>
        <v>0.26641881469037815</v>
      </c>
      <c r="C9" s="10">
        <f t="shared" si="1"/>
        <v>0.22581901215205549</v>
      </c>
      <c r="D9" s="10">
        <f t="shared" si="2"/>
        <v>0.19140625</v>
      </c>
      <c r="E9" s="56">
        <f t="shared" si="3"/>
        <v>0.16223767959091667</v>
      </c>
      <c r="F9" s="10">
        <f t="shared" si="4"/>
        <v>0.13751413383337766</v>
      </c>
      <c r="G9" s="10">
        <f t="shared" si="5"/>
        <v>0.11655823142704044</v>
      </c>
      <c r="H9" s="49"/>
      <c r="I9" s="50"/>
      <c r="J9" s="51"/>
      <c r="K9" s="38"/>
    </row>
    <row r="10" spans="1:11">
      <c r="A10" s="72">
        <v>128</v>
      </c>
      <c r="B10" s="10">
        <f t="shared" si="0"/>
        <v>0.32987697769322361</v>
      </c>
      <c r="C10" s="10">
        <f t="shared" si="1"/>
        <v>0.28717458874925877</v>
      </c>
      <c r="D10" s="10">
        <f t="shared" si="2"/>
        <v>0.25</v>
      </c>
      <c r="E10" s="56">
        <f t="shared" si="3"/>
        <v>0.21763764082403103</v>
      </c>
      <c r="F10" s="10">
        <f t="shared" si="4"/>
        <v>0.18946457081379975</v>
      </c>
      <c r="G10" s="10">
        <f t="shared" si="5"/>
        <v>0.16493848884661177</v>
      </c>
      <c r="H10" s="49"/>
      <c r="I10" s="50"/>
      <c r="J10" s="51"/>
      <c r="K10" s="38"/>
    </row>
    <row r="11" spans="1:11">
      <c r="A11" s="72">
        <v>144</v>
      </c>
      <c r="B11" s="10">
        <f t="shared" si="0"/>
        <v>0.39828691882753681</v>
      </c>
      <c r="C11" s="10">
        <f t="shared" si="1"/>
        <v>0.35499362023883657</v>
      </c>
      <c r="D11" s="10">
        <f t="shared" si="2"/>
        <v>0.31640625</v>
      </c>
      <c r="E11" s="56">
        <f t="shared" si="3"/>
        <v>0.28201327948290289</v>
      </c>
      <c r="F11" s="10">
        <f t="shared" si="4"/>
        <v>0.25135878259263811</v>
      </c>
      <c r="G11" s="10">
        <f t="shared" si="5"/>
        <v>0.22403639184048946</v>
      </c>
      <c r="H11" s="49"/>
      <c r="I11" s="50"/>
      <c r="J11" s="51"/>
      <c r="K11" s="38"/>
    </row>
    <row r="12" spans="1:11">
      <c r="A12" s="72">
        <v>160</v>
      </c>
      <c r="B12" s="10">
        <f t="shared" si="0"/>
        <v>0.47142002629259083</v>
      </c>
      <c r="C12" s="10">
        <f t="shared" si="1"/>
        <v>0.42912521222895222</v>
      </c>
      <c r="D12" s="10">
        <f t="shared" si="2"/>
        <v>0.390625</v>
      </c>
      <c r="E12" s="56">
        <f t="shared" si="3"/>
        <v>0.35557894590353128</v>
      </c>
      <c r="F12" s="10">
        <f t="shared" si="4"/>
        <v>0.32367715013085807</v>
      </c>
      <c r="G12" s="10">
        <f t="shared" si="5"/>
        <v>0.29463751643286928</v>
      </c>
      <c r="H12" s="49"/>
      <c r="I12" s="50"/>
      <c r="J12" s="51"/>
      <c r="K12" s="38"/>
    </row>
    <row r="13" spans="1:11">
      <c r="A13" s="72">
        <v>176</v>
      </c>
      <c r="B13" s="10">
        <f t="shared" si="0"/>
        <v>0.54908088374080977</v>
      </c>
      <c r="C13" s="10">
        <f t="shared" si="1"/>
        <v>0.50943744606734309</v>
      </c>
      <c r="D13" s="10">
        <f t="shared" si="2"/>
        <v>0.47265625</v>
      </c>
      <c r="E13" s="56">
        <f t="shared" si="3"/>
        <v>0.43853064274849257</v>
      </c>
      <c r="F13" s="10">
        <f t="shared" si="4"/>
        <v>0.40686889177791691</v>
      </c>
      <c r="G13" s="10">
        <f t="shared" si="5"/>
        <v>0.37749310757180671</v>
      </c>
      <c r="H13" s="49"/>
      <c r="I13" s="50"/>
      <c r="J13" s="51"/>
    </row>
    <row r="14" spans="1:11">
      <c r="A14" s="72">
        <v>192</v>
      </c>
      <c r="B14" s="10">
        <f t="shared" si="0"/>
        <v>0.63109976931348721</v>
      </c>
      <c r="C14" s="10">
        <f t="shared" si="1"/>
        <v>0.59581341058995696</v>
      </c>
      <c r="D14" s="10">
        <f t="shared" si="2"/>
        <v>0.5625</v>
      </c>
      <c r="E14" s="56">
        <f t="shared" si="3"/>
        <v>0.53104922510338237</v>
      </c>
      <c r="F14" s="10">
        <f t="shared" si="4"/>
        <v>0.50135694130293851</v>
      </c>
      <c r="G14" s="10">
        <f t="shared" si="5"/>
        <v>0.47332482698511547</v>
      </c>
      <c r="H14" s="49"/>
      <c r="I14" s="50"/>
      <c r="J14" s="51"/>
    </row>
    <row r="15" spans="1:11">
      <c r="A15" s="72">
        <v>208</v>
      </c>
      <c r="B15" s="10">
        <f t="shared" si="0"/>
        <v>0.7173273527518359</v>
      </c>
      <c r="C15" s="10">
        <f t="shared" si="1"/>
        <v>0.68814833808930986</v>
      </c>
      <c r="D15" s="10">
        <f t="shared" si="2"/>
        <v>0.66015625</v>
      </c>
      <c r="E15" s="56">
        <f t="shared" si="3"/>
        <v>0.63330280739194678</v>
      </c>
      <c r="F15" s="10">
        <f t="shared" si="4"/>
        <v>0.60754169312268314</v>
      </c>
      <c r="G15" s="10">
        <f t="shared" si="5"/>
        <v>0.58282847411086658</v>
      </c>
      <c r="H15" s="49"/>
      <c r="I15" s="50"/>
      <c r="J15" s="51"/>
    </row>
    <row r="16" spans="1:11">
      <c r="A16" s="72">
        <v>224</v>
      </c>
      <c r="B16" s="10">
        <f t="shared" si="0"/>
        <v>0.80763082211253989</v>
      </c>
      <c r="C16" s="10">
        <f t="shared" si="1"/>
        <v>0.78634747292778484</v>
      </c>
      <c r="D16" s="10">
        <f t="shared" si="2"/>
        <v>0.765625</v>
      </c>
      <c r="E16" s="56">
        <f t="shared" si="3"/>
        <v>0.7454486226584881</v>
      </c>
      <c r="F16" s="10">
        <f t="shared" si="4"/>
        <v>0.72580394974489726</v>
      </c>
      <c r="G16" s="10">
        <f t="shared" si="5"/>
        <v>0.70667696934847235</v>
      </c>
      <c r="H16" s="49"/>
      <c r="I16" s="50"/>
      <c r="J16" s="51"/>
    </row>
    <row r="17" spans="1:10">
      <c r="A17" s="72">
        <v>240</v>
      </c>
      <c r="B17" s="10">
        <f t="shared" si="0"/>
        <v>0.90189097742883728</v>
      </c>
      <c r="C17" s="10">
        <f t="shared" si="1"/>
        <v>0.89032444472833272</v>
      </c>
      <c r="D17" s="10">
        <f t="shared" si="2"/>
        <v>0.87890625</v>
      </c>
      <c r="E17" s="56">
        <f t="shared" si="3"/>
        <v>0.8676344908453798</v>
      </c>
      <c r="F17" s="10">
        <f t="shared" si="4"/>
        <v>0.85650728926381103</v>
      </c>
      <c r="G17" s="10">
        <f t="shared" si="5"/>
        <v>0.84552279133953501</v>
      </c>
      <c r="H17" s="49"/>
      <c r="I17" s="50"/>
      <c r="J17" s="51"/>
    </row>
    <row r="18" spans="1:10">
      <c r="A18" s="72">
        <v>256</v>
      </c>
      <c r="B18" s="10">
        <f t="shared" si="0"/>
        <v>1</v>
      </c>
      <c r="C18" s="10">
        <f t="shared" si="1"/>
        <v>1</v>
      </c>
      <c r="D18" s="10">
        <f t="shared" si="2"/>
        <v>1</v>
      </c>
      <c r="E18" s="56">
        <f t="shared" si="3"/>
        <v>1</v>
      </c>
      <c r="F18" s="10">
        <f t="shared" si="4"/>
        <v>1</v>
      </c>
      <c r="G18" s="10">
        <f t="shared" si="5"/>
        <v>1</v>
      </c>
      <c r="H18" s="49"/>
      <c r="I18" s="50"/>
      <c r="J18" s="51"/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7"/>
  <dimension ref="A1:M202"/>
  <sheetViews>
    <sheetView tabSelected="1" workbookViewId="0">
      <selection activeCell="N1" sqref="N1"/>
    </sheetView>
  </sheetViews>
  <sheetFormatPr defaultRowHeight="16.5"/>
  <sheetData>
    <row r="1" spans="1:13">
      <c r="A1">
        <v>1.6</v>
      </c>
      <c r="B1">
        <v>1.65</v>
      </c>
      <c r="C1">
        <v>1.7</v>
      </c>
      <c r="D1">
        <v>1.75</v>
      </c>
      <c r="E1">
        <v>1.8</v>
      </c>
      <c r="F1">
        <v>1.85</v>
      </c>
      <c r="G1">
        <v>1.9</v>
      </c>
      <c r="H1">
        <v>1.95</v>
      </c>
      <c r="I1">
        <v>2</v>
      </c>
      <c r="J1">
        <v>2.0499999999999998</v>
      </c>
      <c r="K1">
        <v>2.1</v>
      </c>
      <c r="L1">
        <v>2.15</v>
      </c>
      <c r="M1">
        <v>2.2000000000000002</v>
      </c>
    </row>
    <row r="2" spans="1:13">
      <c r="A2">
        <v>3.1707595659623074E-3</v>
      </c>
      <c r="B2">
        <v>3.7307472903593838E-23</v>
      </c>
      <c r="C2">
        <v>3.7869892899643001E-3</v>
      </c>
      <c r="D2">
        <v>3.2196923076923075E-24</v>
      </c>
      <c r="E2">
        <v>1.9969266231271611E-24</v>
      </c>
      <c r="F2">
        <v>1.934164792475976E-24</v>
      </c>
      <c r="G2">
        <v>1.8643761301989149E-24</v>
      </c>
      <c r="H2">
        <v>1.8314606741573035E-24</v>
      </c>
      <c r="I2">
        <v>1.7998617352229519E-24</v>
      </c>
      <c r="J2">
        <v>1.181797548797095E-24</v>
      </c>
      <c r="K2">
        <v>8.8826339133401572E-25</v>
      </c>
      <c r="L2">
        <v>7.0651289009497964E-25</v>
      </c>
      <c r="M2">
        <v>5.946779351301964E-25</v>
      </c>
    </row>
    <row r="3" spans="1:13">
      <c r="A3">
        <v>7.4471730439748711E-3</v>
      </c>
      <c r="B3">
        <v>3.7307472903593838E-23</v>
      </c>
      <c r="C3">
        <v>7.1915906386354634E-3</v>
      </c>
      <c r="D3">
        <v>3.2196923076923075E-24</v>
      </c>
      <c r="E3">
        <v>1.9973107952362658E-24</v>
      </c>
      <c r="F3">
        <v>1.934164792475976E-24</v>
      </c>
      <c r="G3">
        <v>1.8646021699819166E-24</v>
      </c>
      <c r="H3">
        <v>1.8314606741573035E-24</v>
      </c>
      <c r="I3">
        <v>1.7998617352229519E-24</v>
      </c>
      <c r="J3">
        <v>1.181797548797095E-24</v>
      </c>
      <c r="K3">
        <v>8.8826339133401572E-25</v>
      </c>
      <c r="L3">
        <v>7.0651289009497964E-25</v>
      </c>
      <c r="M3">
        <v>5.946779351301964E-25</v>
      </c>
    </row>
    <row r="4" spans="1:13">
      <c r="A4">
        <v>1.9126213592233009E-2</v>
      </c>
      <c r="B4">
        <v>3.5539075869937245E-23</v>
      </c>
      <c r="C4">
        <v>4.9900833002776675E-3</v>
      </c>
      <c r="D4">
        <v>3.0670769230769227E-24</v>
      </c>
      <c r="E4">
        <v>1.9024202842873607E-24</v>
      </c>
      <c r="F4">
        <v>1.8421590676753218E-24</v>
      </c>
      <c r="G4">
        <v>1.7762206148282097E-24</v>
      </c>
      <c r="H4">
        <v>1.7443820224719101E-24</v>
      </c>
      <c r="I4">
        <v>1.7144832353957829E-24</v>
      </c>
      <c r="J4">
        <v>1.1257376305038585E-24</v>
      </c>
      <c r="K4">
        <v>8.4612760150119411E-25</v>
      </c>
      <c r="L4">
        <v>6.7299864314789688E-25</v>
      </c>
      <c r="M4">
        <v>5.6646870717222474E-25</v>
      </c>
    </row>
    <row r="5" spans="1:13">
      <c r="A5">
        <v>1.5996573386636209E-2</v>
      </c>
      <c r="B5">
        <v>3.4697661152310324E-23</v>
      </c>
      <c r="C5">
        <v>6.0095200317334396E-3</v>
      </c>
      <c r="D5">
        <v>2.9944615384615381E-24</v>
      </c>
      <c r="E5">
        <v>1.8578563196311946E-24</v>
      </c>
      <c r="F5">
        <v>1.79922306276835E-24</v>
      </c>
      <c r="G5">
        <v>1.7344032549728751E-24</v>
      </c>
      <c r="H5">
        <v>1.7036516853932585E-24</v>
      </c>
      <c r="I5">
        <v>1.6743864500518493E-24</v>
      </c>
      <c r="J5">
        <v>1.0994098955969135E-24</v>
      </c>
      <c r="K5">
        <v>8.2633913340156949E-25</v>
      </c>
      <c r="L5">
        <v>6.5725915875169611E-25</v>
      </c>
      <c r="M5">
        <v>5.5322064869803564E-25</v>
      </c>
    </row>
    <row r="6" spans="1:13">
      <c r="A6">
        <v>1.3632210165619645E-22</v>
      </c>
      <c r="B6">
        <v>3.404164289788933E-23</v>
      </c>
      <c r="C6">
        <v>2.060293534311781E-3</v>
      </c>
      <c r="D6">
        <v>2.9378461538461535E-24</v>
      </c>
      <c r="E6">
        <v>1.8221283134844411E-24</v>
      </c>
      <c r="F6">
        <v>1.764465344510325E-24</v>
      </c>
      <c r="G6">
        <v>1.7011754068716093E-24</v>
      </c>
      <c r="H6">
        <v>1.6713483146067417E-24</v>
      </c>
      <c r="I6">
        <v>1.6422398893881785E-24</v>
      </c>
      <c r="J6">
        <v>1.0783023150249661E-24</v>
      </c>
      <c r="K6">
        <v>8.1047424087342208E-25</v>
      </c>
      <c r="L6">
        <v>6.4464043419267303E-25</v>
      </c>
      <c r="M6">
        <v>5.4259936043855645E-25</v>
      </c>
    </row>
    <row r="7" spans="1:13">
      <c r="A7">
        <v>1.3123929183323814E-22</v>
      </c>
      <c r="B7">
        <v>3.2772390188248719E-23</v>
      </c>
      <c r="C7">
        <v>3.7120190400634669E-3</v>
      </c>
      <c r="D7">
        <v>2.8283076923076923E-24</v>
      </c>
      <c r="E7">
        <v>1.7541298501728774E-24</v>
      </c>
      <c r="F7">
        <v>1.6990390513187487E-24</v>
      </c>
      <c r="G7">
        <v>1.6376582278481011E-24</v>
      </c>
      <c r="H7">
        <v>1.6088483146067416E-24</v>
      </c>
      <c r="I7">
        <v>1.5810577255444176E-24</v>
      </c>
      <c r="J7">
        <v>1.0381298229686791E-24</v>
      </c>
      <c r="K7">
        <v>7.802797679972705E-25</v>
      </c>
      <c r="L7">
        <v>6.2062415196743549E-25</v>
      </c>
      <c r="M7">
        <v>5.22384650525354E-25</v>
      </c>
    </row>
    <row r="8" spans="1:13">
      <c r="A8">
        <v>1.2775556824671616E-22</v>
      </c>
      <c r="B8">
        <v>3.190245293782088E-23</v>
      </c>
      <c r="C8">
        <v>4.2879809599365333E-4</v>
      </c>
      <c r="D8">
        <v>2.7532307692307692E-24</v>
      </c>
      <c r="E8">
        <v>1.7080291970802917E-24</v>
      </c>
      <c r="F8">
        <v>1.6540584747495399E-24</v>
      </c>
      <c r="G8">
        <v>1.5944846292947559E-24</v>
      </c>
      <c r="H8">
        <v>1.5660112359550561E-24</v>
      </c>
      <c r="I8">
        <v>1.5392326304873835E-24</v>
      </c>
      <c r="J8">
        <v>1.0106672719019519E-24</v>
      </c>
      <c r="K8">
        <v>7.5963834868645515E-25</v>
      </c>
      <c r="L8">
        <v>6.0420624151967438E-25</v>
      </c>
      <c r="M8">
        <v>5.0856555504796708E-25</v>
      </c>
    </row>
    <row r="9" spans="1:13">
      <c r="A9">
        <v>1.2130211307824101E-22</v>
      </c>
      <c r="B9">
        <v>3.0290929834569311E-23</v>
      </c>
      <c r="C9">
        <v>3.6572788575961923E-5</v>
      </c>
      <c r="D9">
        <v>2.6141538461538462E-24</v>
      </c>
      <c r="E9">
        <v>1.6215904725316942E-24</v>
      </c>
      <c r="F9">
        <v>1.5702310365978327E-24</v>
      </c>
      <c r="G9">
        <v>1.5140144665461122E-24</v>
      </c>
      <c r="H9">
        <v>1.4873595505617978E-24</v>
      </c>
      <c r="I9">
        <v>1.461458693397857E-24</v>
      </c>
      <c r="J9">
        <v>9.5960054471175678E-25</v>
      </c>
      <c r="K9">
        <v>7.2125554418287272E-25</v>
      </c>
      <c r="L9">
        <v>5.7367706919945724E-25</v>
      </c>
      <c r="M9">
        <v>4.8286888990406572E-25</v>
      </c>
    </row>
    <row r="10" spans="1:13">
      <c r="A10">
        <v>1.1930325528269561E-22</v>
      </c>
      <c r="B10">
        <v>8.5039931545921273E-4</v>
      </c>
      <c r="C10">
        <v>8.286394287980961E-24</v>
      </c>
      <c r="D10">
        <v>2.571076923076923E-24</v>
      </c>
      <c r="E10">
        <v>1.5950825970034575E-24</v>
      </c>
      <c r="F10">
        <v>1.5446738908198733E-24</v>
      </c>
      <c r="G10">
        <v>1.4893761301989149E-24</v>
      </c>
      <c r="H10">
        <v>1.4627808988764047E-24</v>
      </c>
      <c r="I10">
        <v>1.4376080193570688E-24</v>
      </c>
      <c r="J10">
        <v>9.4394008170676359E-25</v>
      </c>
      <c r="K10">
        <v>7.0948481746844073E-25</v>
      </c>
      <c r="L10">
        <v>5.64314789687924E-25</v>
      </c>
      <c r="M10">
        <v>4.7498857925993603E-25</v>
      </c>
    </row>
    <row r="11" spans="1:13">
      <c r="A11">
        <v>1.1444888635065676E-22</v>
      </c>
      <c r="B11">
        <v>2.1848260125499142E-3</v>
      </c>
      <c r="C11">
        <v>7.9492264974216576E-24</v>
      </c>
      <c r="D11">
        <v>2.4664615384615381E-24</v>
      </c>
      <c r="E11">
        <v>1.5301575105647328E-24</v>
      </c>
      <c r="F11">
        <v>1.4812921692905336E-24</v>
      </c>
      <c r="G11">
        <v>1.4285714285714285E-24</v>
      </c>
      <c r="H11">
        <v>1.4030898876404495E-24</v>
      </c>
      <c r="I11">
        <v>1.3788454891116488E-24</v>
      </c>
      <c r="J11">
        <v>9.0535633227417162E-25</v>
      </c>
      <c r="K11">
        <v>6.8048447628795631E-25</v>
      </c>
      <c r="L11">
        <v>5.4124830393487112E-25</v>
      </c>
      <c r="M11">
        <v>4.555733211512106E-25</v>
      </c>
    </row>
    <row r="12" spans="1:13">
      <c r="A12">
        <v>1.0833809251856083E-22</v>
      </c>
      <c r="B12">
        <v>2.2547062179121505E-4</v>
      </c>
      <c r="C12">
        <v>7.5247917493058319E-24</v>
      </c>
      <c r="D12">
        <v>2.3347692307692307E-24</v>
      </c>
      <c r="E12">
        <v>1.4487130234344986E-24</v>
      </c>
      <c r="F12">
        <v>1.4025761602944183E-24</v>
      </c>
      <c r="G12">
        <v>1.352396021699819E-24</v>
      </c>
      <c r="H12">
        <v>1.3286516853932586E-24</v>
      </c>
      <c r="I12">
        <v>1.3055651572761838E-24</v>
      </c>
      <c r="J12">
        <v>8.5724012709940987E-25</v>
      </c>
      <c r="K12">
        <v>6.4431934493346972E-25</v>
      </c>
      <c r="L12">
        <v>5.1248303934871098E-25</v>
      </c>
      <c r="M12">
        <v>4.313613522156235E-25</v>
      </c>
    </row>
    <row r="13" spans="1:13">
      <c r="A13">
        <v>1.0479725870930897E-22</v>
      </c>
      <c r="B13">
        <v>2.0051340559041643E-4</v>
      </c>
      <c r="C13">
        <v>7.2788575961919874E-24</v>
      </c>
      <c r="D13">
        <v>2.2584615384615384E-24</v>
      </c>
      <c r="E13">
        <v>1.4006915097963887E-24</v>
      </c>
      <c r="F13">
        <v>1.356573297894091E-24</v>
      </c>
      <c r="G13">
        <v>1.3076401446654611E-24</v>
      </c>
      <c r="H13">
        <v>1.2844101123595507E-24</v>
      </c>
      <c r="I13">
        <v>1.2623574144486692E-24</v>
      </c>
      <c r="J13">
        <v>8.2886972310485703E-25</v>
      </c>
      <c r="K13">
        <v>6.2299556465370177E-25</v>
      </c>
      <c r="L13">
        <v>4.9552238805970149E-25</v>
      </c>
      <c r="M13">
        <v>4.1708542713567837E-25</v>
      </c>
    </row>
    <row r="14" spans="1:13">
      <c r="A14">
        <v>1.0068532267275843E-22</v>
      </c>
      <c r="B14">
        <v>2.0336565887050769E-3</v>
      </c>
      <c r="C14">
        <v>6.9932566441888146E-24</v>
      </c>
      <c r="D14">
        <v>2.1698461538461538E-24</v>
      </c>
      <c r="E14">
        <v>1.345754898194391E-24</v>
      </c>
      <c r="F14">
        <v>1.3034144346759355E-24</v>
      </c>
      <c r="G14">
        <v>1.2565551537070524E-24</v>
      </c>
      <c r="H14">
        <v>1.2338483146067416E-24</v>
      </c>
      <c r="I14">
        <v>1.2129277566539925E-24</v>
      </c>
      <c r="J14">
        <v>7.9641398093508855E-25</v>
      </c>
      <c r="K14">
        <v>5.9860116001364716E-25</v>
      </c>
      <c r="L14">
        <v>4.7611940298507458E-25</v>
      </c>
      <c r="M14">
        <v>4.0075376884422106E-25</v>
      </c>
    </row>
    <row r="15" spans="1:13">
      <c r="A15">
        <v>9.5488292404340373E-23</v>
      </c>
      <c r="B15">
        <v>5.697375926982316E-4</v>
      </c>
      <c r="C15">
        <v>6.6322887742959142E-24</v>
      </c>
      <c r="D15">
        <v>2.0578461538461538E-24</v>
      </c>
      <c r="E15">
        <v>1.2769880906646177E-24</v>
      </c>
      <c r="F15">
        <v>1.2369658556532406E-24</v>
      </c>
      <c r="G15">
        <v>1.192133815551537E-24</v>
      </c>
      <c r="H15">
        <v>1.1706460674157303E-24</v>
      </c>
      <c r="I15">
        <v>1.1507086069823715E-24</v>
      </c>
      <c r="J15">
        <v>7.5556059918293248E-25</v>
      </c>
      <c r="K15">
        <v>5.6789491641078138E-25</v>
      </c>
      <c r="L15">
        <v>4.5169606512890101E-25</v>
      </c>
      <c r="M15">
        <v>3.8019643672910008E-25</v>
      </c>
    </row>
    <row r="16" spans="1:13">
      <c r="A16">
        <v>9.1490576813249573E-23</v>
      </c>
      <c r="B16">
        <v>5.2723901882487166E-4</v>
      </c>
      <c r="C16">
        <v>6.3546211820706077E-24</v>
      </c>
      <c r="D16">
        <v>1.9716923076923077E-24</v>
      </c>
      <c r="E16">
        <v>1.2232039953899347E-24</v>
      </c>
      <c r="F16">
        <v>1.1848292782662031E-24</v>
      </c>
      <c r="G16">
        <v>1.1419529837251356E-24</v>
      </c>
      <c r="H16">
        <v>1.1214887640449439E-24</v>
      </c>
      <c r="I16">
        <v>1.1023159350155548E-24</v>
      </c>
      <c r="J16">
        <v>7.2378574670903318E-25</v>
      </c>
      <c r="K16">
        <v>5.4401228249744115E-25</v>
      </c>
      <c r="L16">
        <v>4.3270013568521031E-25</v>
      </c>
      <c r="M16">
        <v>3.6420740063956144E-25</v>
      </c>
    </row>
    <row r="17" spans="1:13">
      <c r="A17">
        <v>8.7207310108509431E-23</v>
      </c>
      <c r="B17">
        <v>6.039646320593269E-3</v>
      </c>
      <c r="C17">
        <v>6.0571201904006357E-24</v>
      </c>
      <c r="D17">
        <v>1.8793846153846154E-24</v>
      </c>
      <c r="E17">
        <v>1.1659623511333077E-24</v>
      </c>
      <c r="F17">
        <v>1.1286035575546923E-24</v>
      </c>
      <c r="G17">
        <v>1.0883815551537071E-24</v>
      </c>
      <c r="H17">
        <v>1.0688202247191011E-24</v>
      </c>
      <c r="I17">
        <v>1.0508123055651574E-24</v>
      </c>
      <c r="J17">
        <v>6.899682251475261E-25</v>
      </c>
      <c r="K17">
        <v>5.1859433640395769E-25</v>
      </c>
      <c r="L17">
        <v>4.1248303934871098E-25</v>
      </c>
      <c r="M17">
        <v>3.4719049794426676E-25</v>
      </c>
    </row>
    <row r="18" spans="1:13">
      <c r="A18">
        <v>8.3209594517418619E-23</v>
      </c>
      <c r="B18">
        <v>8.9161437535653155E-4</v>
      </c>
      <c r="C18">
        <v>5.7794525981753277E-24</v>
      </c>
      <c r="D18">
        <v>1.793230769230769E-24</v>
      </c>
      <c r="E18">
        <v>1.1125624279677294E-24</v>
      </c>
      <c r="F18">
        <v>1.0774892659987731E-24</v>
      </c>
      <c r="G18">
        <v>1.0386528028933091E-24</v>
      </c>
      <c r="H18">
        <v>1.0203651685393258E-24</v>
      </c>
      <c r="I18">
        <v>1.0024196335983408E-24</v>
      </c>
      <c r="J18">
        <v>6.5819337267362688E-25</v>
      </c>
      <c r="K18">
        <v>4.9471170249061746E-25</v>
      </c>
      <c r="L18">
        <v>3.9348710990502032E-25</v>
      </c>
      <c r="M18">
        <v>3.3120146185472816E-25</v>
      </c>
    </row>
    <row r="19" spans="1:13">
      <c r="A19">
        <v>8.0068532267275845E-23</v>
      </c>
      <c r="B19">
        <v>7.4415288077581288E-3</v>
      </c>
      <c r="C19">
        <v>5.5612852042840153E-24</v>
      </c>
      <c r="D19">
        <v>1.7255384615384617E-24</v>
      </c>
      <c r="E19">
        <v>1.0706876680752977E-24</v>
      </c>
      <c r="F19">
        <v>1.0365978327540381E-24</v>
      </c>
      <c r="G19">
        <v>9.9954792043399646E-25</v>
      </c>
      <c r="H19">
        <v>9.8174157303370791E-25</v>
      </c>
      <c r="I19">
        <v>9.650881437953683E-25</v>
      </c>
      <c r="J19">
        <v>6.3368134362233326E-25</v>
      </c>
      <c r="K19">
        <v>4.7628795632889805E-25</v>
      </c>
      <c r="L19">
        <v>3.7883310719131616E-25</v>
      </c>
      <c r="M19">
        <v>3.1886706258565555E-25</v>
      </c>
    </row>
    <row r="20" spans="1:13">
      <c r="A20">
        <v>7.7098800685322662E-23</v>
      </c>
      <c r="B20">
        <v>9.3168853394181399E-3</v>
      </c>
      <c r="C20">
        <v>5.3550178500595006E-24</v>
      </c>
      <c r="D20">
        <v>1.6615384615384612E-24</v>
      </c>
      <c r="E20">
        <v>1.0307337687283902E-24</v>
      </c>
      <c r="F20">
        <v>9.9826211408709876E-25</v>
      </c>
      <c r="G20">
        <v>9.6247739602169976E-25</v>
      </c>
      <c r="H20">
        <v>9.4522471910112369E-25</v>
      </c>
      <c r="I20">
        <v>9.2913930176287607E-25</v>
      </c>
      <c r="J20">
        <v>6.1007716749886522E-25</v>
      </c>
      <c r="K20">
        <v>4.5854657113613105E-25</v>
      </c>
      <c r="L20">
        <v>3.6472184531886027E-25</v>
      </c>
      <c r="M20">
        <v>3.0698949291914116E-25</v>
      </c>
    </row>
    <row r="21" spans="1:13">
      <c r="A21">
        <v>7.8640776699029115E-3</v>
      </c>
      <c r="B21">
        <v>4.3653736451796914E-3</v>
      </c>
      <c r="C21">
        <v>5.1368504561681881E-24</v>
      </c>
      <c r="D21">
        <v>1.5938461538461538E-24</v>
      </c>
      <c r="E21">
        <v>9.884748367268536E-25</v>
      </c>
      <c r="F21">
        <v>9.5726845225925155E-25</v>
      </c>
      <c r="G21">
        <v>9.2292043399638327E-25</v>
      </c>
      <c r="H21">
        <v>9.0660112359550566E-25</v>
      </c>
      <c r="I21">
        <v>8.9077082613204293E-25</v>
      </c>
      <c r="J21">
        <v>5.8488424875170224E-25</v>
      </c>
      <c r="K21">
        <v>4.3961105424769698E-25</v>
      </c>
      <c r="L21">
        <v>3.496607869742198E-25</v>
      </c>
      <c r="M21">
        <v>2.9431247144814983E-25</v>
      </c>
    </row>
    <row r="22" spans="1:13">
      <c r="A22">
        <v>3.7915476870359795E-2</v>
      </c>
      <c r="B22">
        <v>5.6474614945807187E-3</v>
      </c>
      <c r="C22">
        <v>4.9385164617215398E-24</v>
      </c>
      <c r="D22">
        <v>1.5323076923076923E-24</v>
      </c>
      <c r="E22">
        <v>9.5082597003457539E-25</v>
      </c>
      <c r="F22">
        <v>9.2067061950521358E-25</v>
      </c>
      <c r="G22">
        <v>8.8765822784810118E-25</v>
      </c>
      <c r="H22">
        <v>8.7148876404494386E-25</v>
      </c>
      <c r="I22">
        <v>8.5689595575527154E-25</v>
      </c>
      <c r="J22">
        <v>5.6264185201997281E-25</v>
      </c>
      <c r="K22">
        <v>4.2289321050835893E-25</v>
      </c>
      <c r="L22">
        <v>3.3636363636363637E-25</v>
      </c>
      <c r="M22">
        <v>2.8312014618547282E-25</v>
      </c>
    </row>
    <row r="23" spans="1:13">
      <c r="A23">
        <v>3.0028555111364937E-2</v>
      </c>
      <c r="B23">
        <v>6.9352538505419274E-3</v>
      </c>
      <c r="C23">
        <v>4.8195160650535504E-24</v>
      </c>
      <c r="D23">
        <v>1.4953846153846154E-24</v>
      </c>
      <c r="E23">
        <v>9.2739147137917778E-25</v>
      </c>
      <c r="F23">
        <v>8.9818033122060918E-25</v>
      </c>
      <c r="G23">
        <v>8.6595840867992765E-25</v>
      </c>
      <c r="H23">
        <v>8.5042134831460682E-25</v>
      </c>
      <c r="I23">
        <v>8.3581057725544435E-25</v>
      </c>
      <c r="J23">
        <v>5.4879709487063107E-25</v>
      </c>
      <c r="K23">
        <v>4.1248720573183215E-25</v>
      </c>
      <c r="L23">
        <v>3.2808683853459973E-25</v>
      </c>
      <c r="M23">
        <v>2.7615349474645956E-25</v>
      </c>
    </row>
    <row r="24" spans="1:13">
      <c r="A24">
        <v>2.6790405482581381E-2</v>
      </c>
      <c r="B24">
        <v>8.7107815173987444E-3</v>
      </c>
      <c r="C24">
        <v>4.6330821102737013E-24</v>
      </c>
      <c r="D24">
        <v>1.4375384615384615E-24</v>
      </c>
      <c r="E24">
        <v>8.9204763734152906E-25</v>
      </c>
      <c r="F24">
        <v>8.6383152729503164E-25</v>
      </c>
      <c r="G24">
        <v>8.3273056057866189E-25</v>
      </c>
      <c r="H24">
        <v>8.1811797752808995E-25</v>
      </c>
      <c r="I24">
        <v>8.0400967853439344E-25</v>
      </c>
      <c r="J24">
        <v>5.2791647753064005E-25</v>
      </c>
      <c r="K24">
        <v>3.9679290344592291E-25</v>
      </c>
      <c r="L24">
        <v>3.1560379918588872E-25</v>
      </c>
      <c r="M24">
        <v>2.6564641388761991E-25</v>
      </c>
    </row>
    <row r="25" spans="1:13">
      <c r="A25">
        <v>5.0588235294117649E-2</v>
      </c>
      <c r="B25">
        <v>1.0800057045065602E-2</v>
      </c>
      <c r="C25">
        <v>4.5061483538278462E-24</v>
      </c>
      <c r="D25">
        <v>1.398153846153846E-24</v>
      </c>
      <c r="E25">
        <v>8.674606223588167E-25</v>
      </c>
      <c r="F25">
        <v>8.4001226742997338E-25</v>
      </c>
      <c r="G25">
        <v>8.0990054249547915E-25</v>
      </c>
      <c r="H25">
        <v>7.9564606741573031E-25</v>
      </c>
      <c r="I25">
        <v>7.8188731420670583E-25</v>
      </c>
      <c r="J25">
        <v>5.1339083068542896E-25</v>
      </c>
      <c r="K25">
        <v>3.8587512794268165E-25</v>
      </c>
      <c r="L25">
        <v>3.0691994572591583E-25</v>
      </c>
      <c r="M25">
        <v>2.5833714024668794E-25</v>
      </c>
    </row>
    <row r="26" spans="1:13">
      <c r="A26">
        <v>4.5768132495716735E-2</v>
      </c>
      <c r="B26">
        <v>7.5328009127210499E-3</v>
      </c>
      <c r="C26">
        <v>4.4030146767155896E-24</v>
      </c>
      <c r="D26">
        <v>1.3661538461538461E-24</v>
      </c>
      <c r="E26">
        <v>8.4748367268536294E-25</v>
      </c>
      <c r="F26">
        <v>8.208955223880597E-25</v>
      </c>
      <c r="G26">
        <v>7.9136528028933089E-25</v>
      </c>
      <c r="H26">
        <v>7.773876404494382E-25</v>
      </c>
      <c r="I26">
        <v>7.6391289319045981E-25</v>
      </c>
      <c r="J26">
        <v>5.0158874262369499E-25</v>
      </c>
      <c r="K26">
        <v>3.770044353462982E-25</v>
      </c>
      <c r="L26">
        <v>2.9986431478968791E-25</v>
      </c>
      <c r="M26">
        <v>2.5239835541343077E-25</v>
      </c>
    </row>
    <row r="27" spans="1:13">
      <c r="A27">
        <v>3.5802398629354651E-2</v>
      </c>
      <c r="B27">
        <v>6.3990302338847692E-3</v>
      </c>
      <c r="C27">
        <v>4.2919476398254666E-24</v>
      </c>
      <c r="D27">
        <v>1.3316923076923077E-24</v>
      </c>
      <c r="E27">
        <v>8.2558586246638496E-25</v>
      </c>
      <c r="F27">
        <v>7.996319771007973E-25</v>
      </c>
      <c r="G27">
        <v>7.7102169981916813E-25</v>
      </c>
      <c r="H27">
        <v>7.5702247191011246E-25</v>
      </c>
      <c r="I27">
        <v>7.4421016246111303E-25</v>
      </c>
      <c r="J27">
        <v>4.8865183840217892E-25</v>
      </c>
      <c r="K27">
        <v>3.6728079153872397E-25</v>
      </c>
      <c r="L27">
        <v>2.9213025780189959E-25</v>
      </c>
      <c r="M27">
        <v>2.4588853357697578E-25</v>
      </c>
    </row>
    <row r="28" spans="1:13">
      <c r="A28">
        <v>3.5288406624785836E-2</v>
      </c>
      <c r="B28">
        <v>4.9828864803194524E-3</v>
      </c>
      <c r="C28">
        <v>4.228480761602539E-24</v>
      </c>
      <c r="D28">
        <v>1.312E-24</v>
      </c>
      <c r="E28">
        <v>8.1406069919323864E-25</v>
      </c>
      <c r="F28">
        <v>7.8818237579227145E-25</v>
      </c>
      <c r="G28">
        <v>7.5994575045207954E-25</v>
      </c>
      <c r="H28">
        <v>7.4648876404494385E-25</v>
      </c>
      <c r="I28">
        <v>7.3349464223988939E-25</v>
      </c>
      <c r="J28">
        <v>4.8161597821152974E-25</v>
      </c>
      <c r="K28">
        <v>3.6199249402934152E-25</v>
      </c>
      <c r="L28">
        <v>2.8792401628222522E-25</v>
      </c>
      <c r="M28">
        <v>2.4234810415714935E-25</v>
      </c>
    </row>
    <row r="29" spans="1:13">
      <c r="A29">
        <v>4.2707024557395772E-2</v>
      </c>
      <c r="B29">
        <v>9.7375926982316025E-3</v>
      </c>
      <c r="C29">
        <v>4.1888139627132099E-24</v>
      </c>
      <c r="D29">
        <v>1.2996923076923078E-24</v>
      </c>
      <c r="E29">
        <v>8.0637725701114097E-25</v>
      </c>
      <c r="F29">
        <v>7.8082191780821914E-25</v>
      </c>
      <c r="G29">
        <v>7.527124773960217E-25</v>
      </c>
      <c r="H29">
        <v>7.3946629213483147E-25</v>
      </c>
      <c r="I29">
        <v>7.2658140338748708E-25</v>
      </c>
      <c r="J29">
        <v>4.7707671357240127E-25</v>
      </c>
      <c r="K29">
        <v>3.5858068918457865E-25</v>
      </c>
      <c r="L29">
        <v>2.8521031207598369E-25</v>
      </c>
      <c r="M29">
        <v>2.4006395614435816E-25</v>
      </c>
    </row>
    <row r="30" spans="1:13">
      <c r="A30">
        <v>6.5048543689320379E-2</v>
      </c>
      <c r="B30">
        <v>9.6135196805476331E-3</v>
      </c>
      <c r="C30">
        <v>4.1650138833796115E-24</v>
      </c>
      <c r="D30">
        <v>1.2923076923076922E-24</v>
      </c>
      <c r="E30">
        <v>8.0176719170188237E-25</v>
      </c>
      <c r="F30">
        <v>7.7642608873441017E-25</v>
      </c>
      <c r="G30">
        <v>7.4864376130198904E-25</v>
      </c>
      <c r="H30">
        <v>7.3525280898876402E-25</v>
      </c>
      <c r="I30">
        <v>7.2243346007604568E-25</v>
      </c>
      <c r="J30">
        <v>4.7435315478892424E-25</v>
      </c>
      <c r="K30">
        <v>3.5653360627772089E-25</v>
      </c>
      <c r="L30">
        <v>2.8358208955223882E-25</v>
      </c>
      <c r="M30">
        <v>2.3869346733668341E-25</v>
      </c>
    </row>
    <row r="31" spans="1:13">
      <c r="A31">
        <v>4.4129069103369507E-2</v>
      </c>
      <c r="B31">
        <v>7.8993154592127777E-3</v>
      </c>
      <c r="C31">
        <v>4.1451804839349473E-24</v>
      </c>
      <c r="D31">
        <v>1.2861538461538461E-24</v>
      </c>
      <c r="E31">
        <v>7.9792547061083362E-25</v>
      </c>
      <c r="F31">
        <v>7.7274585974238393E-25</v>
      </c>
      <c r="G31">
        <v>7.4502712477396012E-25</v>
      </c>
      <c r="H31">
        <v>7.3174157303370788E-25</v>
      </c>
      <c r="I31">
        <v>7.193225025924647E-25</v>
      </c>
      <c r="J31">
        <v>4.7231048570131647E-25</v>
      </c>
      <c r="K31">
        <v>3.5499829409757765E-25</v>
      </c>
      <c r="L31">
        <v>2.8236092265943015E-25</v>
      </c>
      <c r="M31">
        <v>2.3766560073092737E-25</v>
      </c>
    </row>
    <row r="32" spans="1:13">
      <c r="A32">
        <v>4.6539120502569954E-2</v>
      </c>
      <c r="B32">
        <v>8.0804335424985736E-3</v>
      </c>
      <c r="C32">
        <v>4.1451804839349473E-24</v>
      </c>
      <c r="D32">
        <v>1.2861538461538461E-24</v>
      </c>
      <c r="E32">
        <v>7.9792547061083362E-25</v>
      </c>
      <c r="F32">
        <v>7.728480883254958E-25</v>
      </c>
      <c r="G32">
        <v>7.4502712477396012E-25</v>
      </c>
      <c r="H32">
        <v>7.3174157303370788E-25</v>
      </c>
      <c r="I32">
        <v>7.193225025924647E-25</v>
      </c>
      <c r="J32">
        <v>4.7231048570131647E-25</v>
      </c>
      <c r="K32">
        <v>3.5499829409757765E-25</v>
      </c>
      <c r="L32">
        <v>2.8236092265943015E-25</v>
      </c>
      <c r="M32">
        <v>2.3766560073092737E-25</v>
      </c>
    </row>
    <row r="33" spans="1:13">
      <c r="A33">
        <v>4.3837806967447178E-2</v>
      </c>
      <c r="B33">
        <v>1.1105248146035368E-2</v>
      </c>
      <c r="C33">
        <v>4.1610472034906786E-24</v>
      </c>
      <c r="D33">
        <v>1.291076923076923E-24</v>
      </c>
      <c r="E33">
        <v>8.0099884748367269E-25</v>
      </c>
      <c r="F33">
        <v>7.7581271723573904E-25</v>
      </c>
      <c r="G33">
        <v>7.4796564195298366E-25</v>
      </c>
      <c r="H33">
        <v>7.3455056179775281E-25</v>
      </c>
      <c r="I33">
        <v>7.220877981334256E-25</v>
      </c>
      <c r="J33">
        <v>4.7412619155696782E-25</v>
      </c>
      <c r="K33">
        <v>3.5636301603548281E-25</v>
      </c>
      <c r="L33">
        <v>2.8344640434192675E-25</v>
      </c>
      <c r="M33">
        <v>2.3857925993604385E-25</v>
      </c>
    </row>
    <row r="34" spans="1:13">
      <c r="A34">
        <v>2.3814962878355224E-2</v>
      </c>
      <c r="B34">
        <v>1.1654306902452938E-2</v>
      </c>
      <c r="C34">
        <v>7.4890916303054353E-6</v>
      </c>
      <c r="D34">
        <v>1.2861538461538461E-24</v>
      </c>
      <c r="E34">
        <v>7.9792547061083362E-25</v>
      </c>
      <c r="F34">
        <v>7.7274585974238393E-25</v>
      </c>
      <c r="G34">
        <v>7.4502712477396012E-25</v>
      </c>
      <c r="H34">
        <v>7.3174157303370788E-25</v>
      </c>
      <c r="I34">
        <v>7.1897684064984453E-25</v>
      </c>
      <c r="J34">
        <v>4.7208352246935996E-25</v>
      </c>
      <c r="K34">
        <v>3.5482770385533948E-25</v>
      </c>
      <c r="L34">
        <v>2.8222523744911803E-25</v>
      </c>
      <c r="M34">
        <v>2.3755139333028781E-25</v>
      </c>
    </row>
    <row r="35" spans="1:13">
      <c r="A35">
        <v>1.3643632210165619E-2</v>
      </c>
      <c r="B35">
        <v>9.4352538505419279E-3</v>
      </c>
      <c r="C35">
        <v>4.2879809599365333E-4</v>
      </c>
      <c r="D35">
        <v>1.3107692307692307E-24</v>
      </c>
      <c r="E35">
        <v>8.1290818286592389E-25</v>
      </c>
      <c r="F35">
        <v>7.8705786137804124E-25</v>
      </c>
      <c r="G35">
        <v>7.5881555153707051E-25</v>
      </c>
      <c r="H35">
        <v>7.4508426966292133E-25</v>
      </c>
      <c r="I35">
        <v>7.3245765641202907E-25</v>
      </c>
      <c r="J35">
        <v>4.8093508851566049E-25</v>
      </c>
      <c r="K35">
        <v>3.6148072330262709E-25</v>
      </c>
      <c r="L35">
        <v>2.8751696065128901E-25</v>
      </c>
      <c r="M35">
        <v>2.4200548195523068E-25</v>
      </c>
    </row>
    <row r="36" spans="1:13">
      <c r="A36">
        <v>2.322101656196459E-2</v>
      </c>
      <c r="B36">
        <v>6.9894466628636623E-3</v>
      </c>
      <c r="C36">
        <v>3.4470448234827448E-4</v>
      </c>
      <c r="D36">
        <v>1.3181538461538461E-24</v>
      </c>
      <c r="E36">
        <v>8.1790242028428738E-25</v>
      </c>
      <c r="F36">
        <v>7.9186260478429769E-25</v>
      </c>
      <c r="G36">
        <v>7.6356238698010847E-25</v>
      </c>
      <c r="H36">
        <v>7.4999999999999999E-25</v>
      </c>
      <c r="I36">
        <v>7.3695126166609055E-25</v>
      </c>
      <c r="J36">
        <v>4.8388561053109393E-25</v>
      </c>
      <c r="K36">
        <v>3.6369839645172293E-25</v>
      </c>
      <c r="L36">
        <v>2.8928086838534596E-25</v>
      </c>
      <c r="M36">
        <v>2.4349017816354499E-25</v>
      </c>
    </row>
    <row r="37" spans="1:13">
      <c r="A37">
        <v>1.4466019417475729E-2</v>
      </c>
      <c r="B37">
        <v>5.3237307472903594E-3</v>
      </c>
      <c r="C37">
        <v>4.2879809599365337E-24</v>
      </c>
      <c r="D37">
        <v>1.3304615384615384E-24</v>
      </c>
      <c r="E37">
        <v>8.2520169035727998E-25</v>
      </c>
      <c r="F37">
        <v>7.9912083418523813E-25</v>
      </c>
      <c r="G37">
        <v>7.7034358047016275E-25</v>
      </c>
      <c r="H37">
        <v>7.5702247191011246E-25</v>
      </c>
      <c r="I37">
        <v>7.4351883857587287E-25</v>
      </c>
      <c r="J37">
        <v>4.8819791193826599E-25</v>
      </c>
      <c r="K37">
        <v>3.6693961105424767E-25</v>
      </c>
      <c r="L37">
        <v>2.9185888738127546E-25</v>
      </c>
      <c r="M37">
        <v>2.4566011877569667E-25</v>
      </c>
    </row>
    <row r="38" spans="1:13">
      <c r="A38">
        <v>1.1193603655054254E-2</v>
      </c>
      <c r="B38">
        <v>1.1553051911009696E-2</v>
      </c>
      <c r="C38">
        <v>4.3276477588258628E-24</v>
      </c>
      <c r="D38">
        <v>1.3427692307692306E-24</v>
      </c>
      <c r="E38">
        <v>8.3326930464848253E-25</v>
      </c>
      <c r="F38">
        <v>8.0678797791862604E-25</v>
      </c>
      <c r="G38">
        <v>7.7780289330922242E-25</v>
      </c>
      <c r="H38">
        <v>7.6404494382022474E-25</v>
      </c>
      <c r="I38">
        <v>7.5077773937089535E-25</v>
      </c>
      <c r="J38">
        <v>4.9296413980935097E-25</v>
      </c>
      <c r="K38">
        <v>3.7052200614124871E-25</v>
      </c>
      <c r="L38">
        <v>2.9470827679782905E-25</v>
      </c>
      <c r="M38">
        <v>2.4805847418912746E-25</v>
      </c>
    </row>
    <row r="39" spans="1:13">
      <c r="A39">
        <v>3.2227298686464878E-4</v>
      </c>
      <c r="B39">
        <v>5.085567598402738E-3</v>
      </c>
      <c r="C39">
        <v>1.9210630702102341E-5</v>
      </c>
      <c r="D39">
        <v>1.36E-24</v>
      </c>
      <c r="E39">
        <v>8.4364195159431429E-25</v>
      </c>
      <c r="F39">
        <v>8.1680637906358616E-25</v>
      </c>
      <c r="G39">
        <v>7.8752260397830015E-25</v>
      </c>
      <c r="H39">
        <v>7.7317415730337084E-25</v>
      </c>
      <c r="I39">
        <v>7.6011061182163839E-25</v>
      </c>
      <c r="J39">
        <v>4.9909214707217429E-25</v>
      </c>
      <c r="K39">
        <v>3.7512794268167857E-25</v>
      </c>
      <c r="L39">
        <v>2.9837177747625505E-25</v>
      </c>
      <c r="M39">
        <v>2.5114207400639558E-25</v>
      </c>
    </row>
    <row r="40" spans="1:13">
      <c r="A40">
        <v>5.331810394060537E-3</v>
      </c>
      <c r="B40">
        <v>2.7353108956075299E-3</v>
      </c>
      <c r="C40">
        <v>4.4664815549385171E-24</v>
      </c>
      <c r="D40">
        <v>1.3858461538461538E-24</v>
      </c>
      <c r="E40">
        <v>8.5939300806761424E-25</v>
      </c>
      <c r="F40">
        <v>8.3234512369658555E-25</v>
      </c>
      <c r="G40">
        <v>8.0244122965641948E-25</v>
      </c>
      <c r="H40">
        <v>7.8792134831460672E-25</v>
      </c>
      <c r="I40">
        <v>7.7462841341168344E-25</v>
      </c>
      <c r="J40">
        <v>5.0862460281434416E-25</v>
      </c>
      <c r="K40">
        <v>3.8229273285568065E-25</v>
      </c>
      <c r="L40">
        <v>3.0407055630936228E-25</v>
      </c>
      <c r="M40">
        <v>2.559387848332572E-25</v>
      </c>
    </row>
    <row r="41" spans="1:13">
      <c r="A41">
        <v>2.4751570531125075E-2</v>
      </c>
      <c r="B41">
        <v>1.0041357672561325E-4</v>
      </c>
      <c r="C41">
        <v>4.5299484331614439E-24</v>
      </c>
      <c r="D41">
        <v>1.4055384615384615E-24</v>
      </c>
      <c r="E41">
        <v>8.7168651555897033E-25</v>
      </c>
      <c r="F41">
        <v>8.4399918217133514E-25</v>
      </c>
      <c r="G41">
        <v>8.1374321880650989E-25</v>
      </c>
      <c r="H41">
        <v>7.9915730337078663E-25</v>
      </c>
      <c r="I41">
        <v>7.8534393363290717E-25</v>
      </c>
      <c r="J41">
        <v>5.1566046300499324E-25</v>
      </c>
      <c r="K41">
        <v>3.8758103036506315E-25</v>
      </c>
      <c r="L41">
        <v>3.0827679782903666E-25</v>
      </c>
      <c r="M41">
        <v>2.5947921425308363E-25</v>
      </c>
    </row>
    <row r="42" spans="1:13">
      <c r="A42">
        <v>1.3300970873786408E-2</v>
      </c>
      <c r="B42">
        <v>1.5744438106103821E-4</v>
      </c>
      <c r="C42">
        <v>4.5696152320507737E-24</v>
      </c>
      <c r="D42">
        <v>1.4178461538461537E-24</v>
      </c>
      <c r="E42">
        <v>8.7936995774106799E-25</v>
      </c>
      <c r="F42">
        <v>8.5146186873849923E-25</v>
      </c>
      <c r="G42">
        <v>8.2097649186256774E-25</v>
      </c>
      <c r="H42">
        <v>8.0617977528089892E-25</v>
      </c>
      <c r="I42">
        <v>7.9225717248530948E-25</v>
      </c>
      <c r="J42">
        <v>5.2019972764412172E-25</v>
      </c>
      <c r="K42">
        <v>3.9099283520982602E-25</v>
      </c>
      <c r="L42">
        <v>3.1099050203527818E-25</v>
      </c>
      <c r="M42">
        <v>2.6176336226587482E-25</v>
      </c>
    </row>
    <row r="43" spans="1:13">
      <c r="A43">
        <v>6.6647629925756711E-23</v>
      </c>
      <c r="B43">
        <v>1.6642897889332573E-23</v>
      </c>
      <c r="C43">
        <v>4.6291154303847684E-24</v>
      </c>
      <c r="D43">
        <v>1.4363076923076924E-24</v>
      </c>
      <c r="E43">
        <v>8.9089512101421431E-25</v>
      </c>
      <c r="F43">
        <v>8.6270701288080133E-25</v>
      </c>
      <c r="G43">
        <v>8.3182640144665459E-25</v>
      </c>
      <c r="H43">
        <v>8.1671348314606744E-25</v>
      </c>
      <c r="I43">
        <v>8.0297269270653302E-25</v>
      </c>
      <c r="J43">
        <v>5.272355878347708E-25</v>
      </c>
      <c r="K43">
        <v>3.9628113271920843E-25</v>
      </c>
      <c r="L43">
        <v>3.1519674355495247E-25</v>
      </c>
      <c r="M43">
        <v>2.653037916857012E-25</v>
      </c>
    </row>
    <row r="44" spans="1:13">
      <c r="A44">
        <v>6.7618503712164477E-23</v>
      </c>
      <c r="B44">
        <v>1.4289788933257274E-3</v>
      </c>
      <c r="C44">
        <v>4.6965489884966288E-24</v>
      </c>
      <c r="D44">
        <v>1.4572307692307692E-24</v>
      </c>
      <c r="E44">
        <v>9.0395697272378017E-25</v>
      </c>
      <c r="F44">
        <v>8.7528112860355749E-25</v>
      </c>
      <c r="G44">
        <v>8.4380650994575048E-25</v>
      </c>
      <c r="H44">
        <v>8.2865168539325838E-25</v>
      </c>
      <c r="I44">
        <v>8.143795368129969E-25</v>
      </c>
      <c r="J44">
        <v>5.3472537448933272E-25</v>
      </c>
      <c r="K44">
        <v>4.0191061071306719E-25</v>
      </c>
      <c r="L44">
        <v>3.1967435549525103E-25</v>
      </c>
      <c r="M44">
        <v>2.6907263590680674E-25</v>
      </c>
    </row>
    <row r="45" spans="1:13">
      <c r="A45">
        <v>6.8360936607652764E-23</v>
      </c>
      <c r="B45">
        <v>3.1545921277809465E-4</v>
      </c>
      <c r="C45">
        <v>4.7481158270527571E-24</v>
      </c>
      <c r="D45">
        <v>1.4732307692307691E-24</v>
      </c>
      <c r="E45">
        <v>9.1356127545140216E-25</v>
      </c>
      <c r="F45">
        <v>8.8468615824984665E-25</v>
      </c>
      <c r="G45">
        <v>8.5284810126582273E-25</v>
      </c>
      <c r="H45">
        <v>8.3778089887640448E-25</v>
      </c>
      <c r="I45">
        <v>8.2336674732111996E-25</v>
      </c>
      <c r="J45">
        <v>5.406264185201997E-25</v>
      </c>
      <c r="K45">
        <v>4.0634595701125892E-25</v>
      </c>
      <c r="L45">
        <v>3.2320217096336497E-25</v>
      </c>
      <c r="M45">
        <v>2.7204202832343535E-25</v>
      </c>
    </row>
    <row r="46" spans="1:13">
      <c r="A46">
        <v>1.1850371216447744E-3</v>
      </c>
      <c r="B46">
        <v>1.7156303479749001E-23</v>
      </c>
      <c r="C46">
        <v>4.7719159063863549E-24</v>
      </c>
      <c r="D46">
        <v>1.4806153846153845E-24</v>
      </c>
      <c r="E46">
        <v>9.1855551286976555E-25</v>
      </c>
      <c r="F46">
        <v>8.8949090165610302E-25</v>
      </c>
      <c r="G46">
        <v>8.5759493670886078E-25</v>
      </c>
      <c r="H46">
        <v>8.4199438202247193E-25</v>
      </c>
      <c r="I46">
        <v>8.2786035257518163E-25</v>
      </c>
      <c r="J46">
        <v>5.4357694053563324E-25</v>
      </c>
      <c r="K46">
        <v>4.085636301603548E-25</v>
      </c>
      <c r="L46">
        <v>3.2496607869742196E-25</v>
      </c>
      <c r="M46">
        <v>2.7352672453174966E-25</v>
      </c>
    </row>
    <row r="47" spans="1:13">
      <c r="A47">
        <v>1.3992004568817818E-2</v>
      </c>
      <c r="B47">
        <v>1.7313177410154022E-23</v>
      </c>
      <c r="C47">
        <v>4.8155493851646175E-24</v>
      </c>
      <c r="D47">
        <v>1.4941538461538461E-24</v>
      </c>
      <c r="E47">
        <v>9.266231271609682E-25</v>
      </c>
      <c r="F47">
        <v>8.9726027397260281E-25</v>
      </c>
      <c r="G47">
        <v>8.6505424954792035E-25</v>
      </c>
      <c r="H47">
        <v>8.4971910112359561E-25</v>
      </c>
      <c r="I47">
        <v>8.3511925337020401E-25</v>
      </c>
      <c r="J47">
        <v>5.4834316840671814E-25</v>
      </c>
      <c r="K47">
        <v>4.1214602524735589E-25</v>
      </c>
      <c r="L47">
        <v>3.278154681139756E-25</v>
      </c>
      <c r="M47">
        <v>2.7592507994518045E-25</v>
      </c>
    </row>
    <row r="48" spans="1:13">
      <c r="A48">
        <v>1.2644203312392919E-2</v>
      </c>
      <c r="B48">
        <v>1.739874500855676E-23</v>
      </c>
      <c r="C48">
        <v>4.8393494644982153E-24</v>
      </c>
      <c r="D48">
        <v>1.5015384615384615E-24</v>
      </c>
      <c r="E48">
        <v>9.3123319247022661E-25</v>
      </c>
      <c r="F48">
        <v>9.0165610304641169E-25</v>
      </c>
      <c r="G48">
        <v>8.6934900542495475E-25</v>
      </c>
      <c r="H48">
        <v>8.5393258426966305E-25</v>
      </c>
      <c r="I48">
        <v>8.3926719668164551E-25</v>
      </c>
      <c r="J48">
        <v>5.5106672719019526E-25</v>
      </c>
      <c r="K48">
        <v>4.141931081542136E-25</v>
      </c>
      <c r="L48">
        <v>3.2944369063772052E-25</v>
      </c>
      <c r="M48">
        <v>2.772955687528552E-25</v>
      </c>
    </row>
    <row r="49" spans="1:13">
      <c r="A49">
        <v>6.9960022844089088E-23</v>
      </c>
      <c r="B49">
        <v>1.747005134055904E-23</v>
      </c>
      <c r="C49">
        <v>4.8591828639428802E-24</v>
      </c>
      <c r="D49">
        <v>1.5076923076923075E-24</v>
      </c>
      <c r="E49">
        <v>9.3507491356127545E-25</v>
      </c>
      <c r="F49">
        <v>9.0533633203843793E-25</v>
      </c>
      <c r="G49">
        <v>8.7273960216998185E-25</v>
      </c>
      <c r="H49">
        <v>8.574438202247191E-25</v>
      </c>
      <c r="I49">
        <v>8.4272381610784666E-25</v>
      </c>
      <c r="J49">
        <v>5.5333635950975945E-25</v>
      </c>
      <c r="K49">
        <v>4.1589901057659506E-25</v>
      </c>
      <c r="L49">
        <v>3.3080054274084126E-25</v>
      </c>
      <c r="M49">
        <v>2.7843764275925079E-25</v>
      </c>
    </row>
    <row r="50" spans="1:13">
      <c r="A50">
        <v>6.9960022844089088E-23</v>
      </c>
      <c r="B50">
        <v>1.747005134055904E-23</v>
      </c>
      <c r="C50">
        <v>4.8591828639428802E-24</v>
      </c>
      <c r="D50">
        <v>1.5076923076923075E-24</v>
      </c>
      <c r="E50">
        <v>9.3545908567038024E-25</v>
      </c>
      <c r="F50">
        <v>9.0574524637088523E-25</v>
      </c>
      <c r="G50">
        <v>8.731916817359855E-25</v>
      </c>
      <c r="H50">
        <v>8.574438202247191E-25</v>
      </c>
      <c r="I50">
        <v>8.4306947805046674E-25</v>
      </c>
      <c r="J50">
        <v>5.5356332274171587E-25</v>
      </c>
      <c r="K50">
        <v>4.160696008188331E-25</v>
      </c>
      <c r="L50">
        <v>3.3093622795115333E-25</v>
      </c>
      <c r="M50">
        <v>2.7855185015989035E-25</v>
      </c>
    </row>
    <row r="51" spans="1:13">
      <c r="A51">
        <v>7.0359794403198169E-23</v>
      </c>
      <c r="B51">
        <v>1.7569880205362236E-23</v>
      </c>
      <c r="C51">
        <v>4.8869496231654107E-24</v>
      </c>
      <c r="D51">
        <v>1.5163076923076923E-24</v>
      </c>
      <c r="E51">
        <v>9.4045332308874363E-25</v>
      </c>
      <c r="F51">
        <v>9.1085667552647711E-25</v>
      </c>
      <c r="G51">
        <v>8.7816455696202527E-25</v>
      </c>
      <c r="H51">
        <v>8.6235955056179776E-25</v>
      </c>
      <c r="I51">
        <v>8.4756308330452832E-25</v>
      </c>
      <c r="J51">
        <v>5.565138447571494E-25</v>
      </c>
      <c r="K51">
        <v>4.1828727396792903E-25</v>
      </c>
      <c r="L51">
        <v>3.3270013568521032E-25</v>
      </c>
      <c r="M51">
        <v>2.8003654636820465E-25</v>
      </c>
    </row>
    <row r="52" spans="1:13">
      <c r="A52">
        <v>2.914334665905197E-2</v>
      </c>
      <c r="B52">
        <v>1.7541357672561322E-23</v>
      </c>
      <c r="C52">
        <v>4.8790162633875451E-24</v>
      </c>
      <c r="D52">
        <v>1.5138461538461538E-24</v>
      </c>
      <c r="E52">
        <v>9.3930080676142908E-25</v>
      </c>
      <c r="F52">
        <v>9.0962993252913522E-25</v>
      </c>
      <c r="G52">
        <v>8.7703435804701624E-25</v>
      </c>
      <c r="H52">
        <v>8.6165730337078655E-25</v>
      </c>
      <c r="I52">
        <v>8.465260974766679E-25</v>
      </c>
      <c r="J52">
        <v>5.5583295506128006E-25</v>
      </c>
      <c r="K52">
        <v>4.1777550324121455E-25</v>
      </c>
      <c r="L52">
        <v>3.3229308005427406E-25</v>
      </c>
      <c r="M52">
        <v>2.7969392416628594E-25</v>
      </c>
    </row>
    <row r="53" spans="1:13">
      <c r="A53">
        <v>8.7835522558537974E-4</v>
      </c>
      <c r="B53">
        <v>2.7253280091272104E-4</v>
      </c>
      <c r="C53">
        <v>4.8393494644982153E-24</v>
      </c>
      <c r="D53">
        <v>1.5015384615384615E-24</v>
      </c>
      <c r="E53">
        <v>9.3123319247022661E-25</v>
      </c>
      <c r="F53">
        <v>9.0196278879574739E-25</v>
      </c>
      <c r="G53">
        <v>8.6957504520795667E-25</v>
      </c>
      <c r="H53">
        <v>8.5393258426966305E-25</v>
      </c>
      <c r="I53">
        <v>8.3926719668164551E-25</v>
      </c>
      <c r="J53">
        <v>5.5106672719019526E-25</v>
      </c>
      <c r="K53">
        <v>4.141931081542136E-25</v>
      </c>
      <c r="L53">
        <v>3.2944369063772052E-25</v>
      </c>
      <c r="M53">
        <v>2.772955687528552E-25</v>
      </c>
    </row>
    <row r="54" spans="1:13">
      <c r="A54">
        <v>4.1382067390062826E-3</v>
      </c>
      <c r="B54">
        <v>7.9848830576155161E-5</v>
      </c>
      <c r="C54">
        <v>4.8433161443871481E-24</v>
      </c>
      <c r="D54">
        <v>1.5027692307692307E-24</v>
      </c>
      <c r="E54">
        <v>9.3238570879754136E-25</v>
      </c>
      <c r="F54">
        <v>9.0298507462686573E-25</v>
      </c>
      <c r="G54">
        <v>8.7047920433996378E-25</v>
      </c>
      <c r="H54">
        <v>8.5533707865168547E-25</v>
      </c>
      <c r="I54">
        <v>8.4030418250950574E-25</v>
      </c>
      <c r="J54">
        <v>5.5174761688606451E-25</v>
      </c>
      <c r="K54">
        <v>4.1470487888092799E-25</v>
      </c>
      <c r="L54">
        <v>3.2985074626865668E-25</v>
      </c>
      <c r="M54">
        <v>2.7763819095477386E-25</v>
      </c>
    </row>
    <row r="55" spans="1:13">
      <c r="A55">
        <v>7.4528840662478587E-3</v>
      </c>
      <c r="B55">
        <v>1.9095835710211066E-4</v>
      </c>
      <c r="C55">
        <v>4.803649345497819E-24</v>
      </c>
      <c r="D55">
        <v>1.4904615384615385E-24</v>
      </c>
      <c r="E55">
        <v>9.2431809450633871E-25</v>
      </c>
      <c r="F55">
        <v>8.9501124514414238E-25</v>
      </c>
      <c r="G55">
        <v>8.6279385171790229E-25</v>
      </c>
      <c r="H55">
        <v>8.4761235955056198E-25</v>
      </c>
      <c r="I55">
        <v>8.3304528171448336E-25</v>
      </c>
      <c r="J55">
        <v>5.4698138901497962E-25</v>
      </c>
      <c r="K55">
        <v>4.1112248379392699E-25</v>
      </c>
      <c r="L55">
        <v>3.2700135685210313E-25</v>
      </c>
      <c r="M55">
        <v>2.7523983554134307E-25</v>
      </c>
    </row>
    <row r="56" spans="1:13">
      <c r="A56">
        <v>1.9183323814962877E-2</v>
      </c>
      <c r="B56">
        <v>1.7127780946948088E-23</v>
      </c>
      <c r="C56">
        <v>1.2316541055136851E-5</v>
      </c>
      <c r="D56">
        <v>1.478153846153846E-24</v>
      </c>
      <c r="E56">
        <v>9.1740299654245099E-25</v>
      </c>
      <c r="F56">
        <v>8.8826415865876094E-25</v>
      </c>
      <c r="G56">
        <v>8.5646473779385156E-25</v>
      </c>
      <c r="H56">
        <v>8.4129213483146072E-25</v>
      </c>
      <c r="I56">
        <v>8.2682336674732111E-25</v>
      </c>
      <c r="J56">
        <v>5.4289605083976399E-25</v>
      </c>
      <c r="K56">
        <v>4.0805185943364037E-25</v>
      </c>
      <c r="L56">
        <v>3.245590230664857E-25</v>
      </c>
      <c r="M56">
        <v>2.7318410232983095E-25</v>
      </c>
    </row>
    <row r="57" spans="1:13">
      <c r="A57">
        <v>2.7784123358081097E-2</v>
      </c>
      <c r="B57">
        <v>1.6956645750142612E-23</v>
      </c>
      <c r="C57">
        <v>8.2824276080920266E-6</v>
      </c>
      <c r="D57">
        <v>1.4633846153846155E-24</v>
      </c>
      <c r="E57">
        <v>9.0741452170572403E-25</v>
      </c>
      <c r="F57">
        <v>8.7875690042935999E-25</v>
      </c>
      <c r="G57">
        <v>8.4719710669077757E-25</v>
      </c>
      <c r="H57">
        <v>8.3216292134831462E-25</v>
      </c>
      <c r="I57">
        <v>8.1783615623919806E-25</v>
      </c>
      <c r="J57">
        <v>5.36995006808897E-25</v>
      </c>
      <c r="K57">
        <v>4.0361651313544865E-25</v>
      </c>
      <c r="L57">
        <v>3.2103120759837177E-25</v>
      </c>
      <c r="M57">
        <v>2.7021470991320234E-25</v>
      </c>
    </row>
    <row r="58" spans="1:13">
      <c r="A58">
        <v>1.1267846944603085E-2</v>
      </c>
      <c r="B58">
        <v>1.5501996577296062E-3</v>
      </c>
      <c r="C58">
        <v>1.8266560888536297E-5</v>
      </c>
      <c r="D58">
        <v>1.4523076923076922E-24</v>
      </c>
      <c r="E58">
        <v>9.0049942374183631E-25</v>
      </c>
      <c r="F58">
        <v>8.721120425270905E-25</v>
      </c>
      <c r="G58">
        <v>8.4086799276672685E-25</v>
      </c>
      <c r="H58">
        <v>8.2584269662921354E-25</v>
      </c>
      <c r="I58">
        <v>8.11614241272036E-25</v>
      </c>
      <c r="J58">
        <v>5.3290966863368137E-25</v>
      </c>
      <c r="K58">
        <v>4.0054588877516203E-25</v>
      </c>
      <c r="L58">
        <v>3.1858887381275438E-25</v>
      </c>
      <c r="M58">
        <v>2.6815897670169026E-25</v>
      </c>
    </row>
    <row r="59" spans="1:13">
      <c r="A59">
        <v>1.014848657909766E-3</v>
      </c>
      <c r="B59">
        <v>1.708499714774672E-4</v>
      </c>
      <c r="C59">
        <v>8.2863942879809604E-4</v>
      </c>
      <c r="D59">
        <v>1.4412307692307692E-24</v>
      </c>
      <c r="E59">
        <v>8.9358432577794841E-25</v>
      </c>
      <c r="F59">
        <v>8.6546718462482102E-25</v>
      </c>
      <c r="G59">
        <v>8.3431283905967457E-25</v>
      </c>
      <c r="H59">
        <v>8.1952247191011237E-25</v>
      </c>
      <c r="I59">
        <v>8.0539232630487394E-25</v>
      </c>
      <c r="J59">
        <v>5.2882433045846573E-25</v>
      </c>
      <c r="K59">
        <v>3.9747526441487546E-25</v>
      </c>
      <c r="L59">
        <v>3.1614654002713704E-25</v>
      </c>
      <c r="M59">
        <v>2.6610324349017818E-25</v>
      </c>
    </row>
    <row r="60" spans="1:13">
      <c r="A60">
        <v>9.6516276413478007E-3</v>
      </c>
      <c r="B60">
        <v>1.6357672561323446E-23</v>
      </c>
      <c r="C60">
        <v>2.6783022610075367E-4</v>
      </c>
      <c r="D60">
        <v>1.4116923076923076E-24</v>
      </c>
      <c r="E60">
        <v>8.7591240875912395E-25</v>
      </c>
      <c r="F60">
        <v>8.480883254958085E-25</v>
      </c>
      <c r="G60">
        <v>8.1758589511754064E-25</v>
      </c>
      <c r="H60">
        <v>8.0337078651685399E-25</v>
      </c>
      <c r="I60">
        <v>7.8914621500172831E-25</v>
      </c>
      <c r="J60">
        <v>5.1815705855651385E-25</v>
      </c>
      <c r="K60">
        <v>3.8945752302968269E-25</v>
      </c>
      <c r="L60">
        <v>3.0976933514246947E-25</v>
      </c>
      <c r="M60">
        <v>2.6073549566011878E-25</v>
      </c>
    </row>
    <row r="61" spans="1:13">
      <c r="A61">
        <v>9.7430039977155908E-3</v>
      </c>
      <c r="B61">
        <v>1.6186537364517967E-23</v>
      </c>
      <c r="C61">
        <v>1.373264577548592E-3</v>
      </c>
      <c r="D61">
        <v>1.3969230769230768E-24</v>
      </c>
      <c r="E61">
        <v>8.6669227814060693E-25</v>
      </c>
      <c r="F61">
        <v>8.3919443876507878E-25</v>
      </c>
      <c r="G61">
        <v>8.0899638336347194E-25</v>
      </c>
      <c r="H61">
        <v>7.949438202247191E-25</v>
      </c>
      <c r="I61">
        <v>7.8085032837884559E-25</v>
      </c>
      <c r="J61">
        <v>5.127099409895597E-25</v>
      </c>
      <c r="K61">
        <v>3.8536335721596727E-25</v>
      </c>
      <c r="L61">
        <v>3.0651289009497967E-25</v>
      </c>
      <c r="M61">
        <v>2.5799451804476928E-25</v>
      </c>
    </row>
    <row r="62" spans="1:13">
      <c r="A62">
        <v>3.0770988006853225E-2</v>
      </c>
      <c r="B62">
        <v>1.2912150598973188E-4</v>
      </c>
      <c r="C62">
        <v>7.5049583498611671E-4</v>
      </c>
      <c r="D62">
        <v>1.3821538461538462E-24</v>
      </c>
      <c r="E62">
        <v>8.5785631963119471E-25</v>
      </c>
      <c r="F62">
        <v>8.3060723778368421E-25</v>
      </c>
      <c r="G62">
        <v>8.0085895117540689E-25</v>
      </c>
      <c r="H62">
        <v>7.865168539325843E-25</v>
      </c>
      <c r="I62">
        <v>7.7290010369858277E-25</v>
      </c>
      <c r="J62">
        <v>5.0748978665456197E-25</v>
      </c>
      <c r="K62">
        <v>3.8143978164448992E-25</v>
      </c>
      <c r="L62">
        <v>3.0339213025780189E-25</v>
      </c>
      <c r="M62">
        <v>2.5536774783005938E-25</v>
      </c>
    </row>
    <row r="63" spans="1:13">
      <c r="A63">
        <v>1.56082238720731E-2</v>
      </c>
      <c r="B63">
        <v>1.1878208784940103E-4</v>
      </c>
      <c r="C63">
        <v>1.2804442681475606E-5</v>
      </c>
      <c r="D63">
        <v>1.3636923076923076E-24</v>
      </c>
      <c r="E63">
        <v>8.4633115635804839E-25</v>
      </c>
      <c r="F63">
        <v>8.193620936413821E-25</v>
      </c>
      <c r="G63">
        <v>7.9000904159132013E-25</v>
      </c>
      <c r="H63">
        <v>7.7598314606741578E-25</v>
      </c>
      <c r="I63">
        <v>7.6253024541997931E-25</v>
      </c>
      <c r="J63">
        <v>5.0068088969586931E-25</v>
      </c>
      <c r="K63">
        <v>3.763220743773456E-25</v>
      </c>
      <c r="L63">
        <v>2.9932157394843963E-25</v>
      </c>
      <c r="M63">
        <v>2.5194152581087255E-25</v>
      </c>
    </row>
    <row r="64" spans="1:13">
      <c r="A64">
        <v>1.3952027412906911E-2</v>
      </c>
      <c r="B64">
        <v>1.5616086708499714E-23</v>
      </c>
      <c r="C64">
        <v>2.1713605712019042E-5</v>
      </c>
      <c r="D64">
        <v>1.3476923076923076E-24</v>
      </c>
      <c r="E64">
        <v>8.3595850941221662E-25</v>
      </c>
      <c r="F64">
        <v>8.0954814966264563E-25</v>
      </c>
      <c r="G64">
        <v>7.8051537070524404E-25</v>
      </c>
      <c r="H64">
        <v>7.6685393258426968E-25</v>
      </c>
      <c r="I64">
        <v>7.5319737296923608E-25</v>
      </c>
      <c r="J64">
        <v>4.9455288243304581E-25</v>
      </c>
      <c r="K64">
        <v>3.717161378369157E-25</v>
      </c>
      <c r="L64">
        <v>2.9565807327001353E-25</v>
      </c>
      <c r="M64">
        <v>2.4885792599360439E-25</v>
      </c>
    </row>
    <row r="65" spans="1:13">
      <c r="A65">
        <v>2.5276984580239865E-3</v>
      </c>
      <c r="B65">
        <v>1.5373645179691956E-23</v>
      </c>
      <c r="C65">
        <v>3.1396271320904404E-6</v>
      </c>
      <c r="D65">
        <v>1.3267692307692308E-24</v>
      </c>
      <c r="E65">
        <v>8.2328082981175556E-25</v>
      </c>
      <c r="F65">
        <v>7.9707626252300135E-25</v>
      </c>
      <c r="G65">
        <v>7.6853526220614824E-25</v>
      </c>
      <c r="H65">
        <v>7.5491573033707874E-25</v>
      </c>
      <c r="I65">
        <v>7.4179052886277229E-25</v>
      </c>
      <c r="J65">
        <v>4.8706309577848398E-25</v>
      </c>
      <c r="K65">
        <v>3.6608665984305699E-25</v>
      </c>
      <c r="L65">
        <v>2.9118046132971506E-25</v>
      </c>
      <c r="M65">
        <v>2.4508908177249889E-25</v>
      </c>
    </row>
    <row r="66" spans="1:13">
      <c r="A66">
        <v>2.6447744146202171E-2</v>
      </c>
      <c r="B66">
        <v>2.350256702795208E-4</v>
      </c>
      <c r="C66">
        <v>3.8139627132090443E-4</v>
      </c>
      <c r="D66">
        <v>1.3046153846153846E-24</v>
      </c>
      <c r="E66">
        <v>8.0945063388398003E-25</v>
      </c>
      <c r="F66">
        <v>7.8388877530157435E-25</v>
      </c>
      <c r="G66">
        <v>7.5587703435804707E-25</v>
      </c>
      <c r="H66">
        <v>7.422752808988764E-25</v>
      </c>
      <c r="I66">
        <v>7.2969236087106816E-25</v>
      </c>
      <c r="J66">
        <v>4.7911938266000913E-25</v>
      </c>
      <c r="K66">
        <v>3.6011600136472193E-25</v>
      </c>
      <c r="L66">
        <v>2.8643147896879241E-25</v>
      </c>
      <c r="M66">
        <v>2.410918227501142E-25</v>
      </c>
    </row>
    <row r="67" spans="1:13">
      <c r="A67">
        <v>7.9383209594517425E-3</v>
      </c>
      <c r="B67">
        <v>1.4960068454078721E-23</v>
      </c>
      <c r="C67">
        <v>4.4228480761602536E-4</v>
      </c>
      <c r="D67">
        <v>1.291076923076923E-24</v>
      </c>
      <c r="E67">
        <v>8.0099884748367269E-25</v>
      </c>
      <c r="F67">
        <v>7.7571048865262726E-25</v>
      </c>
      <c r="G67">
        <v>7.4773960216998183E-25</v>
      </c>
      <c r="H67">
        <v>7.3455056179775281E-25</v>
      </c>
      <c r="I67">
        <v>7.2174213619080543E-25</v>
      </c>
      <c r="J67">
        <v>4.738992283250114E-25</v>
      </c>
      <c r="K67">
        <v>3.5619242579324463E-25</v>
      </c>
      <c r="L67">
        <v>2.8331071913161463E-25</v>
      </c>
      <c r="M67">
        <v>2.384650525354043E-25</v>
      </c>
    </row>
    <row r="68" spans="1:13">
      <c r="A68">
        <v>5.9223300970873784E-23</v>
      </c>
      <c r="B68">
        <v>1.4788933257273245E-23</v>
      </c>
      <c r="C68">
        <v>1.0083300277667594E-3</v>
      </c>
      <c r="D68">
        <v>1.2763076923076923E-24</v>
      </c>
      <c r="E68">
        <v>7.9177871686515558E-25</v>
      </c>
      <c r="F68">
        <v>7.6671437333878539E-25</v>
      </c>
      <c r="G68">
        <v>7.3915009041591313E-25</v>
      </c>
      <c r="H68">
        <v>7.2612359550561801E-25</v>
      </c>
      <c r="I68">
        <v>7.1344624956792262E-25</v>
      </c>
      <c r="J68">
        <v>4.6845211075805726E-25</v>
      </c>
      <c r="K68">
        <v>3.5209825997952916E-25</v>
      </c>
      <c r="L68">
        <v>2.8005427408412483E-25</v>
      </c>
      <c r="M68">
        <v>2.357240749200548E-25</v>
      </c>
    </row>
    <row r="69" spans="1:13">
      <c r="A69">
        <v>5.8709308966304975E-23</v>
      </c>
      <c r="B69">
        <v>1.4660581859669138E-23</v>
      </c>
      <c r="C69">
        <v>9.4367314557715192E-6</v>
      </c>
      <c r="D69">
        <v>1.2652307692307692E-24</v>
      </c>
      <c r="E69">
        <v>7.8524779101037265E-25</v>
      </c>
      <c r="F69">
        <v>7.6037620118585152E-25</v>
      </c>
      <c r="G69">
        <v>7.3304701627486432E-25</v>
      </c>
      <c r="H69">
        <v>7.1980337078651694E-25</v>
      </c>
      <c r="I69">
        <v>7.0756999654338055E-25</v>
      </c>
      <c r="J69">
        <v>4.6459373581479804E-25</v>
      </c>
      <c r="K69">
        <v>3.4919822586148072E-25</v>
      </c>
      <c r="L69">
        <v>2.7774762550881952E-25</v>
      </c>
      <c r="M69">
        <v>2.3378254910918227E-25</v>
      </c>
    </row>
    <row r="70" spans="1:13">
      <c r="A70">
        <v>5.8480868075385485E-23</v>
      </c>
      <c r="B70">
        <v>1.4603536794067311E-23</v>
      </c>
      <c r="C70">
        <v>4.0618802062673541E-24</v>
      </c>
      <c r="D70">
        <v>1.2603076923076921E-24</v>
      </c>
      <c r="E70">
        <v>7.817902420284287E-25</v>
      </c>
      <c r="F70">
        <v>7.5710488652627275E-25</v>
      </c>
      <c r="G70">
        <v>7.2988245931283905E-25</v>
      </c>
      <c r="H70">
        <v>7.1699438202247201E-25</v>
      </c>
      <c r="I70">
        <v>7.0480470100241965E-25</v>
      </c>
      <c r="J70">
        <v>4.627780299591466E-25</v>
      </c>
      <c r="K70">
        <v>3.4783350392357556E-25</v>
      </c>
      <c r="L70">
        <v>2.7666214382632292E-25</v>
      </c>
      <c r="M70">
        <v>2.3286888990406579E-25</v>
      </c>
    </row>
    <row r="71" spans="1:13">
      <c r="A71">
        <v>5.8423757852655633E-23</v>
      </c>
      <c r="B71">
        <v>1.4589275527666858E-23</v>
      </c>
      <c r="C71">
        <v>4.057913526378422E-24</v>
      </c>
      <c r="D71">
        <v>1.2590769230769231E-24</v>
      </c>
      <c r="E71">
        <v>7.8102189781021894E-25</v>
      </c>
      <c r="F71">
        <v>7.5628705786137797E-25</v>
      </c>
      <c r="G71">
        <v>7.2920433996383358E-25</v>
      </c>
      <c r="H71">
        <v>7.162921348314607E-25</v>
      </c>
      <c r="I71">
        <v>7.0376771517455941E-25</v>
      </c>
      <c r="J71">
        <v>4.6209714026327743E-25</v>
      </c>
      <c r="K71">
        <v>3.4732173319686113E-25</v>
      </c>
      <c r="L71">
        <v>2.7625508819538671E-25</v>
      </c>
      <c r="M71">
        <v>2.3252626770214712E-25</v>
      </c>
    </row>
    <row r="72" spans="1:13">
      <c r="A72">
        <v>4.2335808109651631E-4</v>
      </c>
      <c r="B72">
        <v>1.4361095265259555E-23</v>
      </c>
      <c r="C72">
        <v>3.9944466481554937E-24</v>
      </c>
      <c r="D72">
        <v>1.2393846153846154E-24</v>
      </c>
      <c r="E72">
        <v>7.6872839031886285E-25</v>
      </c>
      <c r="F72">
        <v>7.445307708035167E-25</v>
      </c>
      <c r="G72">
        <v>7.1790235081374326E-25</v>
      </c>
      <c r="H72">
        <v>7.0505617977528088E-25</v>
      </c>
      <c r="I72">
        <v>6.9305219495333568E-25</v>
      </c>
      <c r="J72">
        <v>4.5506128007262826E-25</v>
      </c>
      <c r="K72">
        <v>3.4203343568747868E-25</v>
      </c>
      <c r="L72">
        <v>2.7204884667571234E-25</v>
      </c>
      <c r="M72">
        <v>2.2898583828232069E-25</v>
      </c>
    </row>
    <row r="73" spans="1:13">
      <c r="A73">
        <v>4.5602512849800114E-3</v>
      </c>
      <c r="B73">
        <v>1.4304050199657728E-23</v>
      </c>
      <c r="C73">
        <v>3.9785799285997624E-24</v>
      </c>
      <c r="D73">
        <v>1.2344615384615383E-24</v>
      </c>
      <c r="E73">
        <v>7.6603918555512867E-25</v>
      </c>
      <c r="F73">
        <v>7.4166837047638514E-25</v>
      </c>
      <c r="G73">
        <v>7.1496383363471972E-25</v>
      </c>
      <c r="H73">
        <v>7.0224719101123595E-25</v>
      </c>
      <c r="I73">
        <v>6.9028689941237478E-25</v>
      </c>
      <c r="J73">
        <v>4.532455742169769E-25</v>
      </c>
      <c r="K73">
        <v>3.4066871374957352E-25</v>
      </c>
      <c r="L73">
        <v>2.7096336499321574E-25</v>
      </c>
      <c r="M73">
        <v>2.2807217907720421E-25</v>
      </c>
    </row>
    <row r="74" spans="1:13">
      <c r="A74">
        <v>2.8480868075385492E-3</v>
      </c>
      <c r="B74">
        <v>1.4245579007415857E-23</v>
      </c>
      <c r="C74">
        <v>3.9623165410551374E-24</v>
      </c>
      <c r="D74">
        <v>1.2294153846153846E-24</v>
      </c>
      <c r="E74">
        <v>7.6258163657318481E-25</v>
      </c>
      <c r="F74">
        <v>7.3849928439991816E-25</v>
      </c>
      <c r="G74">
        <v>7.1202531645569609E-25</v>
      </c>
      <c r="H74">
        <v>6.9929775280898874E-25</v>
      </c>
      <c r="I74">
        <v>6.8717594192879361E-25</v>
      </c>
      <c r="J74">
        <v>4.5120290512936904E-25</v>
      </c>
      <c r="K74">
        <v>3.3913340156943019E-25</v>
      </c>
      <c r="L74">
        <v>2.6974219810040702E-25</v>
      </c>
      <c r="M74">
        <v>2.2704431247144812E-25</v>
      </c>
    </row>
    <row r="75" spans="1:13">
      <c r="A75">
        <v>5.6761850371216452E-23</v>
      </c>
      <c r="B75">
        <v>1.4174272675413577E-23</v>
      </c>
      <c r="C75">
        <v>3.9424831416104725E-24</v>
      </c>
      <c r="D75">
        <v>1.2232615384615385E-24</v>
      </c>
      <c r="E75">
        <v>7.5873991548213588E-25</v>
      </c>
      <c r="F75">
        <v>7.3492128399100388E-25</v>
      </c>
      <c r="G75">
        <v>7.0840867992766717E-25</v>
      </c>
      <c r="H75">
        <v>6.9585674157303373E-25</v>
      </c>
      <c r="I75">
        <v>6.8406498444521263E-25</v>
      </c>
      <c r="J75">
        <v>4.4916023604176127E-25</v>
      </c>
      <c r="K75">
        <v>3.3759808938928695E-25</v>
      </c>
      <c r="L75">
        <v>2.685210312075984E-25</v>
      </c>
      <c r="M75">
        <v>2.2601644586569209E-25</v>
      </c>
    </row>
    <row r="76" spans="1:13">
      <c r="A76">
        <v>5.6579097658480865E-23</v>
      </c>
      <c r="B76">
        <v>1.4128636622932115E-23</v>
      </c>
      <c r="C76">
        <v>5.2756842522808415E-4</v>
      </c>
      <c r="D76">
        <v>1.2193230769230769E-24</v>
      </c>
      <c r="E76">
        <v>7.5643488282750667E-25</v>
      </c>
      <c r="F76">
        <v>7.3246779799631981E-25</v>
      </c>
      <c r="G76">
        <v>7.061482820976491E-25</v>
      </c>
      <c r="H76">
        <v>6.9360955056179782E-25</v>
      </c>
      <c r="I76">
        <v>6.816453508468718E-25</v>
      </c>
      <c r="J76">
        <v>4.4757149341806625E-25</v>
      </c>
      <c r="K76">
        <v>3.3640395769361992E-25</v>
      </c>
      <c r="L76">
        <v>2.6757123473541382E-25</v>
      </c>
      <c r="M76">
        <v>2.2521699406121516E-25</v>
      </c>
    </row>
    <row r="77" spans="1:13">
      <c r="A77">
        <v>5.6333523700742434E-23</v>
      </c>
      <c r="B77">
        <v>3.562464346833999E-3</v>
      </c>
      <c r="C77">
        <v>1.6326854422848077E-4</v>
      </c>
      <c r="D77">
        <v>1.2140307692307693E-24</v>
      </c>
      <c r="E77">
        <v>7.5297733384556272E-25</v>
      </c>
      <c r="F77">
        <v>7.2929871191985273E-25</v>
      </c>
      <c r="G77">
        <v>7.0298372513562383E-25</v>
      </c>
      <c r="H77">
        <v>6.9058988764044947E-25</v>
      </c>
      <c r="I77">
        <v>6.7853439336329082E-25</v>
      </c>
      <c r="J77">
        <v>4.4552882433045857E-25</v>
      </c>
      <c r="K77">
        <v>3.3486864551347664E-25</v>
      </c>
      <c r="L77">
        <v>2.6635006784260515E-25</v>
      </c>
      <c r="M77">
        <v>2.2418912745545912E-25</v>
      </c>
    </row>
    <row r="78" spans="1:13">
      <c r="A78">
        <v>5.5419760137064532E-23</v>
      </c>
      <c r="B78">
        <v>4.84312606959498E-4</v>
      </c>
      <c r="C78">
        <v>3.8492661642205476E-24</v>
      </c>
      <c r="D78">
        <v>1.1943384615384614E-24</v>
      </c>
      <c r="E78">
        <v>7.4068382635420663E-25</v>
      </c>
      <c r="F78">
        <v>7.1744019627887949E-25</v>
      </c>
      <c r="G78">
        <v>6.9168173598553342E-25</v>
      </c>
      <c r="H78">
        <v>6.7935393258426974E-25</v>
      </c>
      <c r="I78">
        <v>6.6781887314206709E-25</v>
      </c>
      <c r="J78">
        <v>4.3849296413980939E-25</v>
      </c>
      <c r="K78">
        <v>3.2958034800409418E-25</v>
      </c>
      <c r="L78">
        <v>2.6214382632293082E-25</v>
      </c>
      <c r="M78">
        <v>2.2064869803563269E-25</v>
      </c>
    </row>
    <row r="79" spans="1:13">
      <c r="A79">
        <v>5.5122786978869217E-23</v>
      </c>
      <c r="B79">
        <v>1.3764974329720479E-23</v>
      </c>
      <c r="C79">
        <v>3.8286394287980961E-24</v>
      </c>
      <c r="D79">
        <v>1.1879384615384614E-24</v>
      </c>
      <c r="E79">
        <v>7.3684210526315789E-25</v>
      </c>
      <c r="F79">
        <v>7.1365773870374156E-25</v>
      </c>
      <c r="G79">
        <v>6.880650994575045E-25</v>
      </c>
      <c r="H79">
        <v>6.7577247191011237E-25</v>
      </c>
      <c r="I79">
        <v>6.6401659177324577E-25</v>
      </c>
      <c r="J79">
        <v>4.3599636858828869E-25</v>
      </c>
      <c r="K79">
        <v>3.2770385533947455E-25</v>
      </c>
      <c r="L79">
        <v>2.6065128900949797E-25</v>
      </c>
      <c r="M79">
        <v>2.1939241662859754E-25</v>
      </c>
    </row>
    <row r="80" spans="1:13">
      <c r="A80">
        <v>5.4957167332952595E-23</v>
      </c>
      <c r="B80">
        <v>1.3723616657159156E-23</v>
      </c>
      <c r="C80">
        <v>3.8171360571201905E-24</v>
      </c>
      <c r="D80">
        <v>1.1843692307692307E-24</v>
      </c>
      <c r="E80">
        <v>7.3453707260852859E-25</v>
      </c>
      <c r="F80">
        <v>7.1140870987528114E-25</v>
      </c>
      <c r="G80">
        <v>6.8580470162748643E-25</v>
      </c>
      <c r="H80">
        <v>6.7373595505617988E-25</v>
      </c>
      <c r="I80">
        <v>6.6194262011752511E-25</v>
      </c>
      <c r="J80">
        <v>4.3463458919655018E-25</v>
      </c>
      <c r="K80">
        <v>3.266803138860457E-25</v>
      </c>
      <c r="L80">
        <v>2.5983717774762551E-25</v>
      </c>
      <c r="M80">
        <v>2.1870717222476016E-25</v>
      </c>
    </row>
    <row r="81" spans="1:13">
      <c r="A81">
        <v>5.4700171330668191E-23</v>
      </c>
      <c r="B81">
        <v>1.5216771249286934E-3</v>
      </c>
      <c r="C81">
        <v>3.7992859976199924E-24</v>
      </c>
      <c r="D81">
        <v>1.1788307692307692E-24</v>
      </c>
      <c r="E81">
        <v>7.3107952362658464E-25</v>
      </c>
      <c r="F81">
        <v>7.0813739521570229E-25</v>
      </c>
      <c r="G81">
        <v>6.8264014466546116E-25</v>
      </c>
      <c r="H81">
        <v>6.7057584269662925E-25</v>
      </c>
      <c r="I81">
        <v>6.5917732457656411E-25</v>
      </c>
      <c r="J81">
        <v>4.3281888334089882E-25</v>
      </c>
      <c r="K81">
        <v>3.2531559194814054E-25</v>
      </c>
      <c r="L81">
        <v>2.5875169606512891E-25</v>
      </c>
      <c r="M81">
        <v>2.1779351301964368E-25</v>
      </c>
    </row>
    <row r="82" spans="1:13">
      <c r="A82">
        <v>2.8418046830382638E-3</v>
      </c>
      <c r="B82">
        <v>1.0213918996006845E-3</v>
      </c>
      <c r="C82">
        <v>3.7830226100753674E-24</v>
      </c>
      <c r="D82">
        <v>1.1737846153846154E-24</v>
      </c>
      <c r="E82">
        <v>7.2800614675374566E-25</v>
      </c>
      <c r="F82">
        <v>7.0507053772234708E-25</v>
      </c>
      <c r="G82">
        <v>6.7970162748643762E-25</v>
      </c>
      <c r="H82">
        <v>6.6769662921348327E-25</v>
      </c>
      <c r="I82">
        <v>6.5606636709298313E-25</v>
      </c>
      <c r="J82">
        <v>4.3077621425329105E-25</v>
      </c>
      <c r="K82">
        <v>3.237802797679973E-25</v>
      </c>
      <c r="L82">
        <v>2.5753052917232024E-25</v>
      </c>
      <c r="M82">
        <v>2.1676564641388764E-25</v>
      </c>
    </row>
    <row r="83" spans="1:13">
      <c r="A83">
        <v>4.3215305539691601E-3</v>
      </c>
      <c r="B83">
        <v>1.2802338847689675E-3</v>
      </c>
      <c r="C83">
        <v>3.7707259024196746E-24</v>
      </c>
      <c r="D83">
        <v>1.1699692307692307E-24</v>
      </c>
      <c r="E83">
        <v>7.2570111409911636E-25</v>
      </c>
      <c r="F83">
        <v>7.0282150889388666E-25</v>
      </c>
      <c r="G83">
        <v>6.7766726943942129E-25</v>
      </c>
      <c r="H83">
        <v>6.6558988764044954E-25</v>
      </c>
      <c r="I83">
        <v>6.5399239543726247E-25</v>
      </c>
      <c r="J83">
        <v>4.2941443486155254E-25</v>
      </c>
      <c r="K83">
        <v>3.2275673831456844E-25</v>
      </c>
      <c r="L83">
        <v>2.5671641791044778E-25</v>
      </c>
      <c r="M83">
        <v>2.1608040201005026E-25</v>
      </c>
    </row>
    <row r="84" spans="1:13">
      <c r="A84">
        <v>8.5265562535693888E-3</v>
      </c>
      <c r="B84">
        <v>5.4178551055333712E-3</v>
      </c>
      <c r="C84">
        <v>6.5727885759619205E-4</v>
      </c>
      <c r="D84">
        <v>1.1643076923076922E-24</v>
      </c>
      <c r="E84">
        <v>7.222435651171725E-25</v>
      </c>
      <c r="F84">
        <v>6.9944796565119603E-25</v>
      </c>
      <c r="G84">
        <v>6.742766726943941E-25</v>
      </c>
      <c r="H84">
        <v>6.6235955056179787E-25</v>
      </c>
      <c r="I84">
        <v>6.5088143795368131E-25</v>
      </c>
      <c r="J84">
        <v>4.2737176577394468E-25</v>
      </c>
      <c r="K84">
        <v>3.2122142613442511E-25</v>
      </c>
      <c r="L84">
        <v>2.5549525101763906E-25</v>
      </c>
      <c r="M84">
        <v>2.1505253540429418E-25</v>
      </c>
    </row>
    <row r="85" spans="1:13">
      <c r="A85">
        <v>6.1222158766419191E-3</v>
      </c>
      <c r="B85">
        <v>4.6662863662293216E-3</v>
      </c>
      <c r="C85">
        <v>3.7417691392304645E-24</v>
      </c>
      <c r="D85">
        <v>1.1609846153846154E-24</v>
      </c>
      <c r="E85">
        <v>7.20322704571648E-25</v>
      </c>
      <c r="F85">
        <v>6.9740339398895926E-25</v>
      </c>
      <c r="G85">
        <v>6.7224231464737787E-25</v>
      </c>
      <c r="H85">
        <v>6.6039325842696624E-25</v>
      </c>
      <c r="I85">
        <v>6.4915312824058073E-25</v>
      </c>
      <c r="J85">
        <v>4.2623694961416249E-25</v>
      </c>
      <c r="K85">
        <v>3.2036847492323434E-25</v>
      </c>
      <c r="L85">
        <v>2.5481682496607867E-25</v>
      </c>
      <c r="M85">
        <v>2.1448149840109636E-25</v>
      </c>
    </row>
    <row r="86" spans="1:13">
      <c r="A86">
        <v>2.7675613934894344E-2</v>
      </c>
      <c r="B86">
        <v>4.1329150028522532E-3</v>
      </c>
      <c r="C86">
        <v>3.7112257040856806E-24</v>
      </c>
      <c r="D86">
        <v>1.1515076923076923E-24</v>
      </c>
      <c r="E86">
        <v>7.1417595082597004E-25</v>
      </c>
      <c r="F86">
        <v>6.917808219178082E-25</v>
      </c>
      <c r="G86">
        <v>6.6704339963833626E-25</v>
      </c>
      <c r="H86">
        <v>6.5505617977528084E-25</v>
      </c>
      <c r="I86">
        <v>6.43968199101279E-25</v>
      </c>
      <c r="J86">
        <v>4.228325011348162E-25</v>
      </c>
      <c r="K86">
        <v>3.1780962128966224E-25</v>
      </c>
      <c r="L86">
        <v>2.5278154681139754E-25</v>
      </c>
      <c r="M86">
        <v>2.1276838739150299E-25</v>
      </c>
    </row>
    <row r="87" spans="1:13">
      <c r="A87">
        <v>3.0942318675042831E-2</v>
      </c>
      <c r="B87">
        <v>9.6520250998288655E-3</v>
      </c>
      <c r="C87">
        <v>3.7080523601745343E-24</v>
      </c>
      <c r="D87">
        <v>1.1505230769230769E-24</v>
      </c>
      <c r="E87">
        <v>7.1379177871686516E-25</v>
      </c>
      <c r="F87">
        <v>6.9106522183602538E-25</v>
      </c>
      <c r="G87">
        <v>6.6636528028933088E-25</v>
      </c>
      <c r="H87">
        <v>6.5442415730337086E-25</v>
      </c>
      <c r="I87">
        <v>6.4327687521603875E-25</v>
      </c>
      <c r="J87">
        <v>4.2237857467090336E-25</v>
      </c>
      <c r="K87">
        <v>3.1746844080518594E-25</v>
      </c>
      <c r="L87">
        <v>2.525101763907734E-25</v>
      </c>
      <c r="M87">
        <v>2.1253997259022383E-25</v>
      </c>
    </row>
    <row r="88" spans="1:13">
      <c r="A88">
        <v>3.4620217018846371E-2</v>
      </c>
      <c r="B88">
        <v>6.397604107244723E-3</v>
      </c>
      <c r="C88">
        <v>3.7140023800079339E-24</v>
      </c>
      <c r="D88">
        <v>1.1523692307692308E-24</v>
      </c>
      <c r="E88">
        <v>7.1494429504417981E-25</v>
      </c>
      <c r="F88">
        <v>6.9229196483336737E-25</v>
      </c>
      <c r="G88">
        <v>6.6749547920433991E-25</v>
      </c>
      <c r="H88">
        <v>6.5554775280898881E-25</v>
      </c>
      <c r="I88">
        <v>6.4431386104389908E-25</v>
      </c>
      <c r="J88">
        <v>4.2305946436677262E-25</v>
      </c>
      <c r="K88">
        <v>3.1798021153190032E-25</v>
      </c>
      <c r="L88">
        <v>2.5291723202170961E-25</v>
      </c>
      <c r="M88">
        <v>2.128825947921425E-25</v>
      </c>
    </row>
    <row r="89" spans="1:13">
      <c r="A89">
        <v>3.6413478012564247E-2</v>
      </c>
      <c r="B89">
        <v>9.4081574443810611E-4</v>
      </c>
      <c r="C89">
        <v>3.7215390717969059E-24</v>
      </c>
      <c r="D89">
        <v>1.1547076923076923E-24</v>
      </c>
      <c r="E89">
        <v>7.1648098348059925E-25</v>
      </c>
      <c r="F89">
        <v>6.9362093641382133E-25</v>
      </c>
      <c r="G89">
        <v>6.6885171790235077E-25</v>
      </c>
      <c r="H89">
        <v>6.568820224719101E-25</v>
      </c>
      <c r="I89">
        <v>6.4569650881437958E-25</v>
      </c>
      <c r="J89">
        <v>4.239673172945983E-25</v>
      </c>
      <c r="K89">
        <v>3.1866257250085293E-25</v>
      </c>
      <c r="L89">
        <v>2.5345997286295793E-25</v>
      </c>
      <c r="M89">
        <v>2.1333942439470076E-25</v>
      </c>
    </row>
    <row r="90" spans="1:13">
      <c r="A90">
        <v>4.2392918332381499E-2</v>
      </c>
      <c r="B90">
        <v>3.1831146605818595E-3</v>
      </c>
      <c r="C90">
        <v>3.7310591035303455E-24</v>
      </c>
      <c r="D90">
        <v>1.1576615384615384E-24</v>
      </c>
      <c r="E90">
        <v>7.1801767191701879E-25</v>
      </c>
      <c r="F90">
        <v>6.9535882232672248E-25</v>
      </c>
      <c r="G90">
        <v>6.7043399638336345E-25</v>
      </c>
      <c r="H90">
        <v>6.5849719101123603E-25</v>
      </c>
      <c r="I90">
        <v>6.4707915658485998E-25</v>
      </c>
      <c r="J90">
        <v>4.2487517022242397E-25</v>
      </c>
      <c r="K90">
        <v>3.1934493346980548E-25</v>
      </c>
      <c r="L90">
        <v>2.5400271370420621E-25</v>
      </c>
      <c r="M90">
        <v>2.1379625399725898E-25</v>
      </c>
    </row>
    <row r="91" spans="1:13">
      <c r="A91">
        <v>4.7458595088520843E-2</v>
      </c>
      <c r="B91">
        <v>4.5336565887050765E-3</v>
      </c>
      <c r="C91">
        <v>3.7477191590638634E-24</v>
      </c>
      <c r="D91">
        <v>1.1628307692307691E-24</v>
      </c>
      <c r="E91">
        <v>7.2147522089896274E-25</v>
      </c>
      <c r="F91">
        <v>6.9852790840318956E-25</v>
      </c>
      <c r="G91">
        <v>6.733725135623869E-25</v>
      </c>
      <c r="H91">
        <v>6.6144662921348315E-25</v>
      </c>
      <c r="I91">
        <v>4.1548565502938126E-5</v>
      </c>
      <c r="J91">
        <v>4.2691783931003184E-25</v>
      </c>
      <c r="K91">
        <v>3.2088024564994881E-25</v>
      </c>
      <c r="L91">
        <v>2.5522388059701492E-25</v>
      </c>
      <c r="M91">
        <v>2.1482412060301507E-25</v>
      </c>
    </row>
    <row r="92" spans="1:13">
      <c r="A92">
        <v>5.4505996573386638E-2</v>
      </c>
      <c r="B92">
        <v>3.8762122076440387E-3</v>
      </c>
      <c r="C92">
        <v>3.7635858786195962E-24</v>
      </c>
      <c r="D92">
        <v>1.1677538461538461E-24</v>
      </c>
      <c r="E92">
        <v>7.2454859777180171E-25</v>
      </c>
      <c r="F92">
        <v>7.014925373134328E-25</v>
      </c>
      <c r="G92">
        <v>6.7631103074141044E-25</v>
      </c>
      <c r="H92">
        <v>6.6425561797752808E-25</v>
      </c>
      <c r="I92">
        <v>9.8548219840995511E-5</v>
      </c>
      <c r="J92">
        <v>4.2873354516568319E-25</v>
      </c>
      <c r="K92">
        <v>3.2224496758785397E-25</v>
      </c>
      <c r="L92">
        <v>2.5630936227951152E-25</v>
      </c>
      <c r="M92">
        <v>2.1573777980813155E-25</v>
      </c>
    </row>
    <row r="93" spans="1:13">
      <c r="A93">
        <v>3.9400342661336379E-2</v>
      </c>
      <c r="B93">
        <v>3.0233884768967483E-3</v>
      </c>
      <c r="C93">
        <v>3.7881792939309805E-24</v>
      </c>
      <c r="D93">
        <v>1.1753846153846153E-24</v>
      </c>
      <c r="E93">
        <v>7.2915866308106031E-25</v>
      </c>
      <c r="F93">
        <v>7.0609282355346551E-25</v>
      </c>
      <c r="G93">
        <v>6.8060578661844483E-25</v>
      </c>
      <c r="H93">
        <v>6.686095505617978E-25</v>
      </c>
      <c r="I93">
        <v>6.0663670929830633E-5</v>
      </c>
      <c r="J93">
        <v>4.3145710394916022E-25</v>
      </c>
      <c r="K93">
        <v>3.2429205049471168E-25</v>
      </c>
      <c r="L93">
        <v>2.5793758480325644E-25</v>
      </c>
      <c r="M93">
        <v>2.171082686158063E-25</v>
      </c>
    </row>
    <row r="94" spans="1:13">
      <c r="A94">
        <v>1.6881781838949173E-2</v>
      </c>
      <c r="B94">
        <v>4.1371933827723901E-3</v>
      </c>
      <c r="C94">
        <v>3.8139627132090443E-24</v>
      </c>
      <c r="D94">
        <v>1.1833846153846153E-24</v>
      </c>
      <c r="E94">
        <v>7.3415290049942371E-25</v>
      </c>
      <c r="F94">
        <v>7.1089756695972197E-25</v>
      </c>
      <c r="G94">
        <v>6.8535262206148278E-25</v>
      </c>
      <c r="H94">
        <v>6.7317415730337085E-25</v>
      </c>
      <c r="I94">
        <v>8.9457310750086424E-5</v>
      </c>
      <c r="J94">
        <v>4.3440762596459376E-25</v>
      </c>
      <c r="K94">
        <v>3.2650972364380757E-25</v>
      </c>
      <c r="L94">
        <v>2.5970149253731344E-25</v>
      </c>
      <c r="M94">
        <v>2.1859296482412061E-25</v>
      </c>
    </row>
    <row r="95" spans="1:13">
      <c r="A95">
        <v>1.51741861793261E-2</v>
      </c>
      <c r="B95">
        <v>4.4552196235025671E-3</v>
      </c>
      <c r="C95">
        <v>4.6053153510511707E-7</v>
      </c>
      <c r="D95">
        <v>4.9304615384615378E-5</v>
      </c>
      <c r="E95">
        <v>7.3837879369957743E-25</v>
      </c>
      <c r="F95">
        <v>1.974033939889593E-6</v>
      </c>
      <c r="G95">
        <v>6.8942133815551535E-25</v>
      </c>
      <c r="H95">
        <v>6.770365168539326E-25</v>
      </c>
      <c r="I95">
        <v>3.1908053923263051E-4</v>
      </c>
      <c r="J95">
        <v>4.3690422151611437E-25</v>
      </c>
      <c r="K95">
        <v>3.2838621630842715E-25</v>
      </c>
      <c r="L95">
        <v>2.7218453188602443E-6</v>
      </c>
      <c r="M95">
        <v>5.524211968935587E-5</v>
      </c>
    </row>
    <row r="96" spans="1:13">
      <c r="A96">
        <v>4.4249000571102226E-3</v>
      </c>
      <c r="B96">
        <v>7.7652595550484888E-4</v>
      </c>
      <c r="C96">
        <v>1.5906386354621184E-5</v>
      </c>
      <c r="D96">
        <v>1.0283076923076923E-5</v>
      </c>
      <c r="E96">
        <v>7.4298885900883593E-25</v>
      </c>
      <c r="F96">
        <v>7.0098139439787359E-5</v>
      </c>
      <c r="G96">
        <v>4.3173598553345385E-5</v>
      </c>
      <c r="H96">
        <v>6.8146067415730337E-25</v>
      </c>
      <c r="I96">
        <v>3.0694780504666438E-4</v>
      </c>
      <c r="J96">
        <v>4.3962778029959149E-25</v>
      </c>
      <c r="K96">
        <v>3.8058683043329918E-5</v>
      </c>
      <c r="L96">
        <v>1.8344640434192673E-4</v>
      </c>
      <c r="M96">
        <v>2.3172681589767017E-4</v>
      </c>
    </row>
    <row r="97" spans="1:13">
      <c r="A97">
        <v>6.2992575671045117E-3</v>
      </c>
      <c r="B97">
        <v>2.9891614375356528E-3</v>
      </c>
      <c r="C97">
        <v>1.3415311384371283E-4</v>
      </c>
      <c r="D97">
        <v>1.7784615384615384E-4</v>
      </c>
      <c r="E97">
        <v>7.4913561275451398E-25</v>
      </c>
      <c r="F97">
        <v>1.2993252913514618E-4</v>
      </c>
      <c r="G97">
        <v>4.082278481012658E-4</v>
      </c>
      <c r="H97">
        <v>1.3441011235955057E-5</v>
      </c>
      <c r="I97">
        <v>6.1043899066712758E-4</v>
      </c>
      <c r="J97">
        <v>3.9468906037221976E-5</v>
      </c>
      <c r="K97">
        <v>2.7277379733879218E-4</v>
      </c>
      <c r="L97">
        <v>5.9090909090909094E-4</v>
      </c>
      <c r="M97">
        <v>5.4202832343535864E-4</v>
      </c>
    </row>
    <row r="98" spans="1:13">
      <c r="A98">
        <v>1.8303826384922901E-2</v>
      </c>
      <c r="B98">
        <v>1.4108670849971477E-23</v>
      </c>
      <c r="C98">
        <v>6.0095200317334394E-4</v>
      </c>
      <c r="D98">
        <v>7.7612307692307694E-4</v>
      </c>
      <c r="E98">
        <v>9.6888205916250479E-5</v>
      </c>
      <c r="F98">
        <v>5.1748108771212432E-4</v>
      </c>
      <c r="G98">
        <v>8.1103074141048825E-4</v>
      </c>
      <c r="H98">
        <v>3.0786516853932583E-4</v>
      </c>
      <c r="I98">
        <v>7.9260283442792953E-4</v>
      </c>
      <c r="J98">
        <v>3.3635950975941903E-4</v>
      </c>
      <c r="K98">
        <v>5.4947117024906175E-4</v>
      </c>
      <c r="L98">
        <v>9.8873812754409775E-4</v>
      </c>
      <c r="M98">
        <v>9.5477386934673361E-4</v>
      </c>
    </row>
    <row r="99" spans="1:13">
      <c r="A99">
        <v>1.2901199314677326E-2</v>
      </c>
      <c r="B99">
        <v>3.7820878494010269E-3</v>
      </c>
      <c r="C99">
        <v>5.6168187227290762E-4</v>
      </c>
      <c r="D99">
        <v>1.2455384615384616E-3</v>
      </c>
      <c r="E99">
        <v>3.0042258932001532E-4</v>
      </c>
      <c r="F99">
        <v>6.7654876303414435E-4</v>
      </c>
      <c r="G99">
        <v>1.0293851717902351E-3</v>
      </c>
      <c r="H99">
        <v>6.9073033707865174E-4</v>
      </c>
      <c r="I99">
        <v>1.2813688212927757E-3</v>
      </c>
      <c r="J99">
        <v>8.3227417158420348E-4</v>
      </c>
      <c r="K99">
        <v>9.2562265438416922E-4</v>
      </c>
      <c r="L99">
        <v>1.4396200814111261E-3</v>
      </c>
      <c r="M99">
        <v>1.4904065783462768E-3</v>
      </c>
    </row>
    <row r="100" spans="1:13">
      <c r="A100">
        <v>4.6025128498001144E-3</v>
      </c>
      <c r="B100">
        <v>1.2799486594409584E-3</v>
      </c>
      <c r="C100">
        <v>7.3819912733042456E-4</v>
      </c>
      <c r="D100">
        <v>1.9938461538461538E-3</v>
      </c>
      <c r="E100">
        <v>9.0895121014214367E-4</v>
      </c>
      <c r="F100">
        <v>1.2154978531997546E-3</v>
      </c>
      <c r="G100">
        <v>1.8035714285714287E-3</v>
      </c>
      <c r="H100">
        <v>1.3096910112359551E-3</v>
      </c>
      <c r="I100">
        <v>1.5675769097822331E-3</v>
      </c>
      <c r="J100">
        <v>1.4255560599182933E-3</v>
      </c>
      <c r="K100">
        <v>1.4836233367451382E-3</v>
      </c>
      <c r="L100">
        <v>1.9348710990502035E-3</v>
      </c>
      <c r="M100">
        <v>2.1550936500685245E-3</v>
      </c>
    </row>
    <row r="101" spans="1:13">
      <c r="A101">
        <v>7.2130211307824105E-4</v>
      </c>
      <c r="B101">
        <v>5.1796919566457498E-3</v>
      </c>
      <c r="C101">
        <v>1.9873066243554149E-3</v>
      </c>
      <c r="D101">
        <v>2.2486153846153845E-3</v>
      </c>
      <c r="E101">
        <v>1.9892431809450635E-3</v>
      </c>
      <c r="F101">
        <v>1.6101001840114497E-3</v>
      </c>
      <c r="G101">
        <v>2.1014918625678119E-3</v>
      </c>
      <c r="H101">
        <v>2.621488764044944E-3</v>
      </c>
      <c r="I101">
        <v>2.4773591427583825E-3</v>
      </c>
      <c r="J101">
        <v>2.3309123921924648E-3</v>
      </c>
      <c r="K101">
        <v>2.3660866598430568E-3</v>
      </c>
      <c r="L101">
        <v>2.8955223880597018E-3</v>
      </c>
      <c r="M101">
        <v>3.0333485609867518E-3</v>
      </c>
    </row>
    <row r="102" spans="1:13">
      <c r="A102">
        <v>3.5545402627070242E-3</v>
      </c>
      <c r="B102">
        <v>1.5658870507701081E-3</v>
      </c>
      <c r="C102">
        <v>2.7171757239190797E-3</v>
      </c>
      <c r="D102">
        <v>3.0535384615384617E-3</v>
      </c>
      <c r="E102">
        <v>2.5862466384940453E-3</v>
      </c>
      <c r="F102">
        <v>2.6579431609077895E-3</v>
      </c>
      <c r="G102">
        <v>3.261754068716094E-3</v>
      </c>
      <c r="H102">
        <v>3.518258426966292E-3</v>
      </c>
      <c r="I102">
        <v>3.062910473556862E-3</v>
      </c>
      <c r="J102">
        <v>3.254652746255107E-3</v>
      </c>
      <c r="K102">
        <v>3.461276015011941E-3</v>
      </c>
      <c r="L102">
        <v>3.9253731343283586E-3</v>
      </c>
      <c r="M102">
        <v>4.0909090909090904E-3</v>
      </c>
    </row>
    <row r="103" spans="1:13">
      <c r="A103">
        <v>6.0708166761850369E-23</v>
      </c>
      <c r="B103">
        <v>5.1026811180832857E-3</v>
      </c>
      <c r="C103">
        <v>5.1725505751685844E-3</v>
      </c>
      <c r="D103">
        <v>4.5403076923076924E-3</v>
      </c>
      <c r="E103">
        <v>3.8955051863234728E-3</v>
      </c>
      <c r="F103">
        <v>3.7773461459824163E-3</v>
      </c>
      <c r="G103">
        <v>4.437160940325497E-3</v>
      </c>
      <c r="H103">
        <v>4.8448033707865169E-3</v>
      </c>
      <c r="I103">
        <v>4.365710335292085E-3</v>
      </c>
      <c r="J103">
        <v>4.450748978665456E-3</v>
      </c>
      <c r="K103">
        <v>4.6844080518594336E-3</v>
      </c>
      <c r="L103">
        <v>5.2442333785617367E-3</v>
      </c>
      <c r="M103">
        <v>5.6121516674280496E-3</v>
      </c>
    </row>
    <row r="104" spans="1:13">
      <c r="A104">
        <v>6.1850371216447749E-23</v>
      </c>
      <c r="B104">
        <v>5.108385624643468E-3</v>
      </c>
      <c r="C104">
        <v>6.5212217374057916E-3</v>
      </c>
      <c r="D104">
        <v>5.7661538461538462E-3</v>
      </c>
      <c r="E104">
        <v>5.3668843641951599E-3</v>
      </c>
      <c r="F104">
        <v>5.1993457370680838E-3</v>
      </c>
      <c r="G104">
        <v>5.7527124773960213E-3</v>
      </c>
      <c r="H104">
        <v>6.3419943820224728E-3</v>
      </c>
      <c r="I104">
        <v>5.9177324576564121E-3</v>
      </c>
      <c r="J104">
        <v>6.0939627780299595E-3</v>
      </c>
      <c r="K104">
        <v>6.3459570112589557E-3</v>
      </c>
      <c r="L104">
        <v>7.0705563093622793E-3</v>
      </c>
      <c r="M104">
        <v>7.3366834170854279E-3</v>
      </c>
    </row>
    <row r="105" spans="1:13">
      <c r="A105">
        <v>6.3221016561964584E-23</v>
      </c>
      <c r="B105">
        <v>6.5972618368511128E-3</v>
      </c>
      <c r="C105">
        <v>7.992859976199921E-3</v>
      </c>
      <c r="D105">
        <v>8.2695384615384619E-3</v>
      </c>
      <c r="E105">
        <v>7.0995005762581635E-3</v>
      </c>
      <c r="F105">
        <v>7.0343488039255773E-3</v>
      </c>
      <c r="G105">
        <v>7.8594032549728753E-3</v>
      </c>
      <c r="H105">
        <v>8.0196629213483139E-3</v>
      </c>
      <c r="I105">
        <v>7.7255444175596266E-3</v>
      </c>
      <c r="J105">
        <v>8.1298229686790745E-3</v>
      </c>
      <c r="K105">
        <v>8.6369839645172291E-3</v>
      </c>
      <c r="L105">
        <v>9.1696065128900953E-3</v>
      </c>
      <c r="M105">
        <v>9.5226130653266322E-3</v>
      </c>
    </row>
    <row r="106" spans="1:13">
      <c r="A106">
        <v>6.4648772130211306E-23</v>
      </c>
      <c r="B106">
        <v>8.2715345122646895E-3</v>
      </c>
      <c r="C106">
        <v>1.0190400634668783E-2</v>
      </c>
      <c r="D106">
        <v>9.8153846153846147E-3</v>
      </c>
      <c r="E106">
        <v>1.0096043027276218E-2</v>
      </c>
      <c r="F106">
        <v>9.5522388059701493E-3</v>
      </c>
      <c r="G106">
        <v>1.0031645569620253E-2</v>
      </c>
      <c r="H106">
        <v>1.0828651685393259E-2</v>
      </c>
      <c r="I106">
        <v>1.0217767023850674E-2</v>
      </c>
      <c r="J106">
        <v>1.0937358147980027E-2</v>
      </c>
      <c r="K106">
        <v>1.1344251108836575E-2</v>
      </c>
      <c r="L106">
        <v>1.19280868385346E-2</v>
      </c>
      <c r="M106">
        <v>1.2357240749200549E-2</v>
      </c>
    </row>
    <row r="107" spans="1:13">
      <c r="A107">
        <v>6.6647629925756711E-23</v>
      </c>
      <c r="B107">
        <v>1.1627210496292071E-2</v>
      </c>
      <c r="C107">
        <v>1.339944466481555E-2</v>
      </c>
      <c r="D107">
        <v>1.3083076923076921E-2</v>
      </c>
      <c r="E107">
        <v>1.3411448328851324E-2</v>
      </c>
      <c r="F107">
        <v>1.3044367205070538E-2</v>
      </c>
      <c r="G107">
        <v>1.3944394213381554E-2</v>
      </c>
      <c r="H107">
        <v>1.3939606741573034E-2</v>
      </c>
      <c r="I107">
        <v>1.3708952644313863E-2</v>
      </c>
      <c r="J107">
        <v>1.4643667725828416E-2</v>
      </c>
      <c r="K107">
        <v>1.5054588877516204E-2</v>
      </c>
      <c r="L107">
        <v>1.5671641791044778E-2</v>
      </c>
      <c r="M107">
        <v>1.6217450890817723E-2</v>
      </c>
    </row>
    <row r="108" spans="1:13">
      <c r="A108">
        <v>6.8132495716733297E-23</v>
      </c>
      <c r="B108">
        <v>9.9201369081574446E-3</v>
      </c>
      <c r="C108">
        <v>1.8690995636652125E-2</v>
      </c>
      <c r="D108">
        <v>1.6861538461538459E-2</v>
      </c>
      <c r="E108">
        <v>1.704955820207453E-2</v>
      </c>
      <c r="F108">
        <v>1.7082396237988139E-2</v>
      </c>
      <c r="G108">
        <v>1.7484177215189873E-2</v>
      </c>
      <c r="H108">
        <v>1.7619382022471913E-2</v>
      </c>
      <c r="I108">
        <v>1.7843069478050467E-2</v>
      </c>
      <c r="J108">
        <v>1.8774398547435317E-2</v>
      </c>
      <c r="K108">
        <v>1.9379051518253157E-2</v>
      </c>
      <c r="L108">
        <v>1.9945725915875168E-2</v>
      </c>
      <c r="M108">
        <v>2.0397441754225674E-2</v>
      </c>
    </row>
    <row r="109" spans="1:13">
      <c r="A109">
        <v>6.9674471730439746E-23</v>
      </c>
      <c r="B109">
        <v>1.2541357672561324E-2</v>
      </c>
      <c r="C109">
        <v>2.3518445061483543E-2</v>
      </c>
      <c r="D109">
        <v>2.1649230769230768E-2</v>
      </c>
      <c r="E109">
        <v>2.1794083749519782E-2</v>
      </c>
      <c r="F109">
        <v>2.173379676957677E-2</v>
      </c>
      <c r="G109">
        <v>2.246157323688969E-2</v>
      </c>
      <c r="H109">
        <v>2.258426966292135E-2</v>
      </c>
      <c r="I109">
        <v>2.2844797787763566E-2</v>
      </c>
      <c r="J109">
        <v>2.4103495233772133E-2</v>
      </c>
      <c r="K109">
        <v>2.4496758785397477E-2</v>
      </c>
      <c r="L109">
        <v>2.5115332428765264E-2</v>
      </c>
      <c r="M109">
        <v>2.5628140703517585E-2</v>
      </c>
    </row>
    <row r="110" spans="1:13">
      <c r="A110">
        <v>7.087378640776699E-23</v>
      </c>
      <c r="B110">
        <v>2.2147746719908726E-2</v>
      </c>
      <c r="C110">
        <v>3.1031336771122572E-2</v>
      </c>
      <c r="D110">
        <v>2.7212307692307692E-2</v>
      </c>
      <c r="E110">
        <v>2.7725701114099117E-2</v>
      </c>
      <c r="F110">
        <v>2.7479043140462071E-2</v>
      </c>
      <c r="G110">
        <v>2.7938517179023507E-2</v>
      </c>
      <c r="H110">
        <v>2.8314606741573035E-2</v>
      </c>
      <c r="I110">
        <v>2.8658831662633947E-2</v>
      </c>
      <c r="J110">
        <v>3.0004539264639134E-2</v>
      </c>
      <c r="K110">
        <v>3.0569771409075401E-2</v>
      </c>
      <c r="L110">
        <v>3.118046132971506E-2</v>
      </c>
      <c r="M110">
        <v>3.1818181818181822E-2</v>
      </c>
    </row>
    <row r="111" spans="1:13">
      <c r="A111">
        <v>7.2872644203312396E-23</v>
      </c>
      <c r="B111">
        <v>2.5812892184826013E-2</v>
      </c>
      <c r="C111">
        <v>3.7798492661642209E-2</v>
      </c>
      <c r="D111">
        <v>3.4153846153846153E-2</v>
      </c>
      <c r="E111">
        <v>3.4844410295812527E-2</v>
      </c>
      <c r="F111">
        <v>3.4604375383357186E-2</v>
      </c>
      <c r="G111">
        <v>3.5375226039782999E-2</v>
      </c>
      <c r="H111">
        <v>3.580056179775281E-2</v>
      </c>
      <c r="I111">
        <v>3.619080539232631E-2</v>
      </c>
      <c r="J111">
        <v>3.7471629596005446E-2</v>
      </c>
      <c r="K111">
        <v>3.8143978164448991E-2</v>
      </c>
      <c r="L111">
        <v>3.9036635006784261E-2</v>
      </c>
      <c r="M111">
        <v>3.9629968021927815E-2</v>
      </c>
    </row>
    <row r="112" spans="1:13">
      <c r="A112">
        <v>3.0599657338663622E-3</v>
      </c>
      <c r="B112">
        <v>4.0373645179691955E-2</v>
      </c>
      <c r="C112">
        <v>4.8195160650535508E-2</v>
      </c>
      <c r="D112">
        <v>4.252307692307692E-2</v>
      </c>
      <c r="E112">
        <v>4.4832885132539378E-2</v>
      </c>
      <c r="F112">
        <v>4.4377427928848905E-2</v>
      </c>
      <c r="G112">
        <v>4.5320976491862563E-2</v>
      </c>
      <c r="H112">
        <v>4.5870786516853938E-2</v>
      </c>
      <c r="I112">
        <v>4.635326650535776E-2</v>
      </c>
      <c r="J112">
        <v>4.7775760326827059E-2</v>
      </c>
      <c r="K112">
        <v>4.8703514158990102E-2</v>
      </c>
      <c r="L112">
        <v>4.9185888738127542E-2</v>
      </c>
      <c r="M112">
        <v>5.006852444038374E-2</v>
      </c>
    </row>
    <row r="113" spans="1:13">
      <c r="A113">
        <v>2.8320959451741862E-2</v>
      </c>
      <c r="B113">
        <v>4.9058756417569883E-2</v>
      </c>
      <c r="C113">
        <v>5.9500198333994447E-2</v>
      </c>
      <c r="D113">
        <v>5.4892307692307692E-2</v>
      </c>
      <c r="E113">
        <v>5.6665386092969644E-2</v>
      </c>
      <c r="F113">
        <v>5.6327949294622773E-2</v>
      </c>
      <c r="G113">
        <v>5.6984629294755874E-2</v>
      </c>
      <c r="H113">
        <v>5.7710674157303375E-2</v>
      </c>
      <c r="I113">
        <v>5.8244037331489813E-2</v>
      </c>
      <c r="J113">
        <v>5.9577848388561061E-2</v>
      </c>
      <c r="K113">
        <v>6.0337768679631525E-2</v>
      </c>
      <c r="L113">
        <v>6.0827679782903661E-2</v>
      </c>
      <c r="M113">
        <v>6.1603471904979439E-2</v>
      </c>
    </row>
    <row r="114" spans="1:13">
      <c r="A114">
        <v>6.6990291262135918E-2</v>
      </c>
      <c r="B114">
        <v>6.1009697661152308E-2</v>
      </c>
      <c r="C114">
        <v>7.5485918286394296E-2</v>
      </c>
      <c r="D114">
        <v>7.0473846153846151E-2</v>
      </c>
      <c r="E114">
        <v>7.1225509028044559E-2</v>
      </c>
      <c r="F114">
        <v>7.0946636679615621E-2</v>
      </c>
      <c r="G114">
        <v>7.2174502712477398E-2</v>
      </c>
      <c r="H114">
        <v>7.2120786516853941E-2</v>
      </c>
      <c r="I114">
        <v>7.2519875561700656E-2</v>
      </c>
      <c r="J114">
        <v>7.4239673172945983E-2</v>
      </c>
      <c r="K114">
        <v>7.4837939269873754E-2</v>
      </c>
      <c r="L114">
        <v>7.4911804613297148E-2</v>
      </c>
      <c r="M114">
        <v>7.5502512562814067E-2</v>
      </c>
    </row>
    <row r="115" spans="1:13">
      <c r="A115">
        <v>9.8686464877213026E-2</v>
      </c>
      <c r="B115">
        <v>8.1774101540216776E-2</v>
      </c>
      <c r="C115">
        <v>9.4049980166600558E-2</v>
      </c>
      <c r="D115">
        <v>8.9255384615384611E-2</v>
      </c>
      <c r="E115">
        <v>8.9896273530541679E-2</v>
      </c>
      <c r="F115">
        <v>8.9644244530770814E-2</v>
      </c>
      <c r="G115">
        <v>9.1139240506329114E-2</v>
      </c>
      <c r="H115">
        <v>9.080056179775281E-2</v>
      </c>
      <c r="I115">
        <v>9.1081921880400984E-2</v>
      </c>
      <c r="J115">
        <v>9.2623694961416259E-2</v>
      </c>
      <c r="K115">
        <v>9.2766973729102684E-2</v>
      </c>
      <c r="L115">
        <v>9.2374491180461329E-2</v>
      </c>
      <c r="M115">
        <v>9.2599360438556419E-2</v>
      </c>
    </row>
    <row r="116" spans="1:13">
      <c r="A116">
        <v>0.10371216447744146</v>
      </c>
      <c r="B116">
        <v>0.10705932686822589</v>
      </c>
      <c r="C116">
        <v>0.1183260610868703</v>
      </c>
      <c r="D116">
        <v>0.11300923076923076</v>
      </c>
      <c r="E116">
        <v>0.11398386477141759</v>
      </c>
      <c r="F116">
        <v>0.11378041300347576</v>
      </c>
      <c r="G116">
        <v>0.11528028933092223</v>
      </c>
      <c r="H116">
        <v>0.11481741573033709</v>
      </c>
      <c r="I116">
        <v>0.11479433114414105</v>
      </c>
      <c r="J116">
        <v>0.11588742623694963</v>
      </c>
      <c r="K116">
        <v>0.11535312180143296</v>
      </c>
      <c r="L116">
        <v>0.11408412483039349</v>
      </c>
      <c r="M116">
        <v>0.11362494289629968</v>
      </c>
    </row>
    <row r="117" spans="1:13">
      <c r="A117">
        <v>0.16996002284408909</v>
      </c>
      <c r="B117">
        <v>0.13854820308043353</v>
      </c>
      <c r="C117">
        <v>0.15208250694168982</v>
      </c>
      <c r="D117">
        <v>0.14892307692307691</v>
      </c>
      <c r="E117">
        <v>0.14944295044179792</v>
      </c>
      <c r="F117">
        <v>0.14894704559394806</v>
      </c>
      <c r="G117">
        <v>0.15047468354430379</v>
      </c>
      <c r="H117">
        <v>0.14915730337078653</v>
      </c>
      <c r="I117">
        <v>0.14856550293812654</v>
      </c>
      <c r="J117">
        <v>0.14832047208352248</v>
      </c>
      <c r="K117">
        <v>0.14737291026953259</v>
      </c>
      <c r="L117">
        <v>0.1445047489823609</v>
      </c>
      <c r="M117">
        <v>0.14287345820009134</v>
      </c>
    </row>
    <row r="118" spans="1:13">
      <c r="A118">
        <v>0.18834951456310678</v>
      </c>
      <c r="B118">
        <v>0.19167142042213345</v>
      </c>
      <c r="C118">
        <v>0.19631098770329239</v>
      </c>
      <c r="D118">
        <v>0.1942153846153846</v>
      </c>
      <c r="E118">
        <v>0.19435266999615827</v>
      </c>
      <c r="F118">
        <v>0.19362093641382128</v>
      </c>
      <c r="G118">
        <v>0.19480108499095841</v>
      </c>
      <c r="H118">
        <v>0.19213483146067417</v>
      </c>
      <c r="I118">
        <v>0.19032146560663671</v>
      </c>
      <c r="J118">
        <v>0.18869723104857014</v>
      </c>
      <c r="K118">
        <v>0.18611395428181507</v>
      </c>
      <c r="L118">
        <v>0.18113975576662142</v>
      </c>
      <c r="M118">
        <v>0.17782092279579714</v>
      </c>
    </row>
    <row r="119" spans="1:13">
      <c r="A119">
        <v>0.23900628212450029</v>
      </c>
      <c r="B119">
        <v>0.24985738733599544</v>
      </c>
      <c r="C119">
        <v>0.25271717572391911</v>
      </c>
      <c r="D119">
        <v>0.25132307692307693</v>
      </c>
      <c r="E119">
        <v>0.25132539377641183</v>
      </c>
      <c r="F119">
        <v>0.25107340012267426</v>
      </c>
      <c r="G119">
        <v>0.25135623869801083</v>
      </c>
      <c r="H119">
        <v>0.24698033707865172</v>
      </c>
      <c r="I119">
        <v>0.24279294849637056</v>
      </c>
      <c r="J119">
        <v>0.23921924648206994</v>
      </c>
      <c r="K119">
        <v>0.23422040259297167</v>
      </c>
      <c r="L119">
        <v>0.22645861601085482</v>
      </c>
      <c r="M119">
        <v>0.2206486980356327</v>
      </c>
    </row>
    <row r="120" spans="1:13">
      <c r="A120">
        <v>0.331753283837807</v>
      </c>
      <c r="B120">
        <v>0.32287507130633197</v>
      </c>
      <c r="C120">
        <v>0.32649742165807222</v>
      </c>
      <c r="D120">
        <v>0.32467692307692309</v>
      </c>
      <c r="E120">
        <v>0.32470226661544366</v>
      </c>
      <c r="F120">
        <v>0.32416683704763855</v>
      </c>
      <c r="G120">
        <v>0.32346292947558769</v>
      </c>
      <c r="H120">
        <v>0.31699438202247193</v>
      </c>
      <c r="I120">
        <v>0.31005876253024545</v>
      </c>
      <c r="J120">
        <v>0.30367680435769412</v>
      </c>
      <c r="K120">
        <v>0.29580348004094165</v>
      </c>
      <c r="L120">
        <v>0.28398914518317503</v>
      </c>
      <c r="M120">
        <v>0.27501142074006396</v>
      </c>
    </row>
    <row r="121" spans="1:13">
      <c r="A121">
        <v>0.40062821245002855</v>
      </c>
      <c r="B121">
        <v>0.40288077581289217</v>
      </c>
      <c r="C121">
        <v>0.41015470051566844</v>
      </c>
      <c r="D121">
        <v>0.40972307692307691</v>
      </c>
      <c r="E121">
        <v>0.40952746830580095</v>
      </c>
      <c r="F121">
        <v>0.40911878961357595</v>
      </c>
      <c r="G121">
        <v>0.40890596745027125</v>
      </c>
      <c r="H121">
        <v>0.39950842696629213</v>
      </c>
      <c r="I121">
        <v>0.38990667127549256</v>
      </c>
      <c r="J121">
        <v>0.38061733999092151</v>
      </c>
      <c r="K121">
        <v>0.36915728420334359</v>
      </c>
      <c r="L121">
        <v>0.3530529172320217</v>
      </c>
      <c r="M121">
        <v>0.33976701690269528</v>
      </c>
    </row>
    <row r="122" spans="1:13">
      <c r="A122">
        <v>0.51067961165048537</v>
      </c>
      <c r="B122">
        <v>0.51226468910439249</v>
      </c>
      <c r="C122">
        <v>0.51685838952796515</v>
      </c>
      <c r="D122">
        <v>0.51347692307692305</v>
      </c>
      <c r="E122">
        <v>0.51402228198232802</v>
      </c>
      <c r="F122">
        <v>0.51420977305254545</v>
      </c>
      <c r="G122">
        <v>0.51446654611211573</v>
      </c>
      <c r="H122">
        <v>0.50273876404494378</v>
      </c>
      <c r="I122">
        <v>0.4904942965779468</v>
      </c>
      <c r="J122">
        <v>0.47821152973218345</v>
      </c>
      <c r="K122">
        <v>0.46383486864551343</v>
      </c>
      <c r="L122">
        <v>0.44219810040705559</v>
      </c>
      <c r="M122">
        <v>0.42439470077661035</v>
      </c>
    </row>
    <row r="123" spans="1:13">
      <c r="A123">
        <v>0.60593946316390634</v>
      </c>
      <c r="B123">
        <v>0.61922418710781513</v>
      </c>
      <c r="C123">
        <v>0.62792542641808813</v>
      </c>
      <c r="D123">
        <v>0.6294153846153846</v>
      </c>
      <c r="E123">
        <v>0.62965808682289659</v>
      </c>
      <c r="F123">
        <v>0.62819464322224494</v>
      </c>
      <c r="G123">
        <v>0.6286166365280289</v>
      </c>
      <c r="H123">
        <v>0.61390449438202244</v>
      </c>
      <c r="I123">
        <v>0.59903214656066373</v>
      </c>
      <c r="J123">
        <v>0.58420335905583298</v>
      </c>
      <c r="K123">
        <v>0.56635960423063803</v>
      </c>
      <c r="L123">
        <v>0.54043419267299864</v>
      </c>
      <c r="M123">
        <v>0.51861580630424853</v>
      </c>
    </row>
    <row r="124" spans="1:13">
      <c r="A124">
        <v>0.74928612221587654</v>
      </c>
      <c r="B124">
        <v>0.75998288648031942</v>
      </c>
      <c r="C124">
        <v>0.76318921063070211</v>
      </c>
      <c r="D124">
        <v>0.7628307692307692</v>
      </c>
      <c r="E124">
        <v>0.76219746446407988</v>
      </c>
      <c r="F124">
        <v>0.76047842976896329</v>
      </c>
      <c r="G124">
        <v>0.75881555153707048</v>
      </c>
      <c r="H124">
        <v>0.73735955056179781</v>
      </c>
      <c r="I124">
        <v>0.71621154510888363</v>
      </c>
      <c r="J124">
        <v>0.69745801180208811</v>
      </c>
      <c r="K124">
        <v>0.67639031047424081</v>
      </c>
      <c r="L124">
        <v>0.64559023066485755</v>
      </c>
      <c r="M124">
        <v>0.62037460027409774</v>
      </c>
    </row>
    <row r="125" spans="1:13">
      <c r="A125">
        <v>0.90633923472301547</v>
      </c>
      <c r="B125">
        <v>0.90430690245293777</v>
      </c>
      <c r="C125">
        <v>0.90321301071003579</v>
      </c>
      <c r="D125">
        <v>0.9019076923076923</v>
      </c>
      <c r="E125">
        <v>0.90088359585094113</v>
      </c>
      <c r="F125">
        <v>0.89848701696994471</v>
      </c>
      <c r="G125">
        <v>0.8946654611211573</v>
      </c>
      <c r="H125">
        <v>0.8665730337078652</v>
      </c>
      <c r="I125">
        <v>0.83857587279640522</v>
      </c>
      <c r="J125">
        <v>0.81525192918747169</v>
      </c>
      <c r="K125">
        <v>0.79034459228932108</v>
      </c>
      <c r="L125">
        <v>0.75454545454545452</v>
      </c>
      <c r="M125">
        <v>0.72590223846505253</v>
      </c>
    </row>
    <row r="126" spans="1:13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0.9747191011235955</v>
      </c>
      <c r="I126">
        <v>0.94953335637746283</v>
      </c>
      <c r="J126">
        <v>0.92714480254198828</v>
      </c>
      <c r="K126">
        <v>0.90191061071306722</v>
      </c>
      <c r="L126">
        <v>0.86322930800542741</v>
      </c>
      <c r="M126">
        <v>0.83234353586112386</v>
      </c>
    </row>
    <row r="127" spans="1:13">
      <c r="A127">
        <v>0.95374071958880635</v>
      </c>
      <c r="B127">
        <v>0.97846548773531095</v>
      </c>
      <c r="C127">
        <v>0.96786989289964298</v>
      </c>
      <c r="D127">
        <v>0.97366153846153836</v>
      </c>
      <c r="E127">
        <v>0.9765655013446024</v>
      </c>
      <c r="F127">
        <v>0.98374565528521762</v>
      </c>
      <c r="G127">
        <v>1</v>
      </c>
      <c r="H127">
        <v>1</v>
      </c>
      <c r="I127">
        <v>1</v>
      </c>
      <c r="J127">
        <v>1</v>
      </c>
      <c r="K127">
        <v>0.99027635619242571</v>
      </c>
      <c r="L127">
        <v>0.96105834464043416</v>
      </c>
      <c r="M127">
        <v>0.93650068524440377</v>
      </c>
    </row>
    <row r="128" spans="1:13">
      <c r="A128">
        <v>0.78926327812678465</v>
      </c>
      <c r="B128">
        <v>0.78736451796919571</v>
      </c>
      <c r="C128">
        <v>0.79174930583101943</v>
      </c>
      <c r="D128">
        <v>0.80123076923076919</v>
      </c>
      <c r="E128">
        <v>0.80714560122935075</v>
      </c>
      <c r="F128">
        <v>0.82202003680228986</v>
      </c>
      <c r="G128">
        <v>0.8553345388788427</v>
      </c>
      <c r="H128">
        <v>0.8911516853932584</v>
      </c>
      <c r="I128">
        <v>0.93363290701693757</v>
      </c>
      <c r="J128">
        <v>0.97412619155696778</v>
      </c>
      <c r="K128">
        <v>1</v>
      </c>
      <c r="L128">
        <v>1</v>
      </c>
      <c r="M128">
        <v>1</v>
      </c>
    </row>
    <row r="129" spans="1:13">
      <c r="A129">
        <v>0.55522558537978295</v>
      </c>
      <c r="B129">
        <v>0.56988020536223616</v>
      </c>
      <c r="C129">
        <v>0.56525188417294736</v>
      </c>
      <c r="D129">
        <v>0.57452307692307691</v>
      </c>
      <c r="E129">
        <v>0.58240491740299649</v>
      </c>
      <c r="F129">
        <v>0.59824166837047643</v>
      </c>
      <c r="G129">
        <v>0.63946654611211573</v>
      </c>
      <c r="H129">
        <v>0.69866573033707868</v>
      </c>
      <c r="I129">
        <v>0.77393708952644313</v>
      </c>
      <c r="J129">
        <v>0.85133908306854289</v>
      </c>
      <c r="K129">
        <v>0.91811668372569077</v>
      </c>
      <c r="L129">
        <v>0.96010854816824964</v>
      </c>
      <c r="M129">
        <v>0.9998857925993605</v>
      </c>
    </row>
    <row r="130" spans="1:13">
      <c r="A130">
        <v>0.36482010279840094</v>
      </c>
      <c r="B130">
        <v>0.3619509412435824</v>
      </c>
      <c r="C130">
        <v>0.35981753272510908</v>
      </c>
      <c r="D130">
        <v>0.36799999999999999</v>
      </c>
      <c r="E130">
        <v>0.37372262773722631</v>
      </c>
      <c r="F130">
        <v>0.38683295849519522</v>
      </c>
      <c r="G130">
        <v>0.42314647377938519</v>
      </c>
      <c r="H130">
        <v>0.48363764044943819</v>
      </c>
      <c r="I130">
        <v>0.56688558589699278</v>
      </c>
      <c r="J130">
        <v>0.66023604176123474</v>
      </c>
      <c r="K130">
        <v>0.75281473899692941</v>
      </c>
      <c r="L130">
        <v>0.83188602442333792</v>
      </c>
      <c r="M130">
        <v>0.91411603471904967</v>
      </c>
    </row>
    <row r="131" spans="1:13">
      <c r="A131">
        <v>0.24968589377498573</v>
      </c>
      <c r="B131">
        <v>0.22204791785510553</v>
      </c>
      <c r="C131">
        <v>0.22015073383577949</v>
      </c>
      <c r="D131">
        <v>0.22523076923076923</v>
      </c>
      <c r="E131">
        <v>0.22831348444102958</v>
      </c>
      <c r="F131">
        <v>0.23778368431813535</v>
      </c>
      <c r="G131">
        <v>0.26333634719710669</v>
      </c>
      <c r="H131">
        <v>0.30990168539325846</v>
      </c>
      <c r="I131">
        <v>0.37884548911164884</v>
      </c>
      <c r="J131">
        <v>0.46413980935088517</v>
      </c>
      <c r="K131">
        <v>0.5578300921187308</v>
      </c>
      <c r="L131">
        <v>0.65223880597014927</v>
      </c>
      <c r="M131">
        <v>0.76084970306075828</v>
      </c>
    </row>
    <row r="132" spans="1:13">
      <c r="A132">
        <v>0.13049685893774984</v>
      </c>
      <c r="B132">
        <v>0.13655162578436963</v>
      </c>
      <c r="C132">
        <v>0.12859976199920667</v>
      </c>
      <c r="D132">
        <v>0.13440000000000002</v>
      </c>
      <c r="E132">
        <v>0.13603534383403765</v>
      </c>
      <c r="F132">
        <v>0.14107544469433653</v>
      </c>
      <c r="G132">
        <v>0.15689421338155515</v>
      </c>
      <c r="H132">
        <v>0.18574438202247193</v>
      </c>
      <c r="I132">
        <v>0.23117870722433459</v>
      </c>
      <c r="J132">
        <v>0.29346345891965503</v>
      </c>
      <c r="K132">
        <v>0.36762197202320024</v>
      </c>
      <c r="L132">
        <v>0.45183175033921302</v>
      </c>
      <c r="M132">
        <v>0.55950205573321155</v>
      </c>
    </row>
    <row r="133" spans="1:13">
      <c r="A133">
        <v>5.5653912050257E-2</v>
      </c>
      <c r="B133">
        <v>7.8907586993725035E-2</v>
      </c>
      <c r="C133">
        <v>7.80245934153114E-2</v>
      </c>
      <c r="D133">
        <v>8.7236923076923073E-2</v>
      </c>
      <c r="E133">
        <v>8.6630810603150213E-2</v>
      </c>
      <c r="F133">
        <v>8.971580453894909E-2</v>
      </c>
      <c r="G133">
        <v>0.1003616636528029</v>
      </c>
      <c r="H133">
        <v>0.11839887640449438</v>
      </c>
      <c r="I133">
        <v>0.14694089180781197</v>
      </c>
      <c r="J133">
        <v>0.18792555605991829</v>
      </c>
      <c r="K133">
        <v>0.23967929034459229</v>
      </c>
      <c r="L133">
        <v>0.30244233378561736</v>
      </c>
      <c r="M133">
        <v>0.38910461397898582</v>
      </c>
    </row>
    <row r="134" spans="1:13">
      <c r="A134">
        <v>7.3615077098800691E-2</v>
      </c>
      <c r="B134">
        <v>5.6374786081003998E-2</v>
      </c>
      <c r="C134">
        <v>5.279650932169775E-2</v>
      </c>
      <c r="D134">
        <v>5.7932307692307693E-2</v>
      </c>
      <c r="E134">
        <v>5.7548981943910872E-2</v>
      </c>
      <c r="F134">
        <v>5.9282355346554898E-2</v>
      </c>
      <c r="G134">
        <v>6.7043399638336346E-2</v>
      </c>
      <c r="H134">
        <v>7.8721910112359558E-2</v>
      </c>
      <c r="I134">
        <v>9.6577946768060835E-2</v>
      </c>
      <c r="J134">
        <v>0.12385383567862006</v>
      </c>
      <c r="K134">
        <v>0.15851245308768339</v>
      </c>
      <c r="L134">
        <v>0.20203527815468114</v>
      </c>
      <c r="M134">
        <v>0.26564641388761989</v>
      </c>
    </row>
    <row r="135" spans="1:13">
      <c r="A135">
        <v>1.1279268989149058E-2</v>
      </c>
      <c r="B135">
        <v>3.3841985168282941E-2</v>
      </c>
      <c r="C135">
        <v>3.49821499404998E-2</v>
      </c>
      <c r="D135">
        <v>3.835076923076923E-2</v>
      </c>
      <c r="E135">
        <v>3.7840952746830581E-2</v>
      </c>
      <c r="F135">
        <v>3.8846861582498463E-2</v>
      </c>
      <c r="G135">
        <v>4.536618444846293E-2</v>
      </c>
      <c r="H135">
        <v>5.212078651685393E-2</v>
      </c>
      <c r="I135">
        <v>6.4327687521603866E-2</v>
      </c>
      <c r="J135">
        <v>8.2682705401724926E-2</v>
      </c>
      <c r="K135">
        <v>0.10573183213920163</v>
      </c>
      <c r="L135">
        <v>0.13515603799185888</v>
      </c>
      <c r="M135">
        <v>0.17930561900411146</v>
      </c>
    </row>
    <row r="136" spans="1:13">
      <c r="A136">
        <v>1.1844660194174757E-22</v>
      </c>
      <c r="B136">
        <v>2.4201369081574442E-2</v>
      </c>
      <c r="C136">
        <v>2.3681078936929792E-2</v>
      </c>
      <c r="D136">
        <v>2.4283076923076921E-2</v>
      </c>
      <c r="E136">
        <v>2.5478294275835572E-2</v>
      </c>
      <c r="F136">
        <v>2.5168677162134535E-2</v>
      </c>
      <c r="G136">
        <v>2.967902350813743E-2</v>
      </c>
      <c r="H136">
        <v>3.5316011235955055E-2</v>
      </c>
      <c r="I136">
        <v>4.2274455582440376E-2</v>
      </c>
      <c r="J136">
        <v>5.5628688152519298E-2</v>
      </c>
      <c r="K136">
        <v>7.1016717843739335E-2</v>
      </c>
      <c r="L136">
        <v>9.1180461329715065E-2</v>
      </c>
      <c r="M136">
        <v>0.12094563727729556</v>
      </c>
    </row>
    <row r="137" spans="1:13">
      <c r="A137">
        <v>1.2124500285551114E-22</v>
      </c>
      <c r="B137">
        <v>2.1734169994295491E-2</v>
      </c>
      <c r="C137">
        <v>7.6199920666402228E-3</v>
      </c>
      <c r="D137">
        <v>1.0840615384615384E-2</v>
      </c>
      <c r="E137">
        <v>1.1129466000768343E-2</v>
      </c>
      <c r="F137">
        <v>1.1010018401144961E-2</v>
      </c>
      <c r="G137">
        <v>1.3851717902350813E-2</v>
      </c>
      <c r="H137">
        <v>1.6734550561797755E-2</v>
      </c>
      <c r="I137">
        <v>2.0210853784998272E-2</v>
      </c>
      <c r="J137">
        <v>2.7598729005901046E-2</v>
      </c>
      <c r="K137">
        <v>3.4578642101671782E-2</v>
      </c>
      <c r="L137">
        <v>4.4518317503392128E-2</v>
      </c>
      <c r="M137">
        <v>5.9353586112380084E-2</v>
      </c>
    </row>
    <row r="138" spans="1:13">
      <c r="A138">
        <v>1.2324386065105654E-22</v>
      </c>
      <c r="B138">
        <v>1.6714204221334853E-2</v>
      </c>
      <c r="C138">
        <v>7.1479571598572003E-3</v>
      </c>
      <c r="D138">
        <v>9.6258461538461532E-3</v>
      </c>
      <c r="E138">
        <v>1.0218978102189781E-2</v>
      </c>
      <c r="F138">
        <v>1.0132897158045389E-2</v>
      </c>
      <c r="G138">
        <v>1.2897830018083183E-2</v>
      </c>
      <c r="H138">
        <v>1.5582865168539328E-2</v>
      </c>
      <c r="I138">
        <v>1.8361562391980644E-2</v>
      </c>
      <c r="J138">
        <v>2.5261007716749887E-2</v>
      </c>
      <c r="K138">
        <v>3.1576253838280451E-2</v>
      </c>
      <c r="L138">
        <v>4.0909090909090909E-2</v>
      </c>
      <c r="M138">
        <v>5.4568296025582455E-2</v>
      </c>
    </row>
    <row r="139" spans="1:13">
      <c r="A139">
        <v>1.2478583666476299E-22</v>
      </c>
      <c r="B139">
        <v>8.426982316029662E-3</v>
      </c>
      <c r="C139">
        <v>5.6525188417294731E-3</v>
      </c>
      <c r="D139">
        <v>6.6978461538461532E-3</v>
      </c>
      <c r="E139">
        <v>8.0215136381098732E-3</v>
      </c>
      <c r="F139">
        <v>6.7358413412390104E-3</v>
      </c>
      <c r="G139">
        <v>9.0302893309222431E-3</v>
      </c>
      <c r="H139">
        <v>1.1404494382022474E-2</v>
      </c>
      <c r="I139">
        <v>1.2433460076045628E-2</v>
      </c>
      <c r="J139">
        <v>1.7557875624148889E-2</v>
      </c>
      <c r="K139">
        <v>2.1750255885363359E-2</v>
      </c>
      <c r="L139">
        <v>2.8507462686567165E-2</v>
      </c>
      <c r="M139">
        <v>3.7996802192782092E-2</v>
      </c>
    </row>
    <row r="140" spans="1:13">
      <c r="A140">
        <v>1.2741290691033693E-22</v>
      </c>
      <c r="B140">
        <v>1.9024529378208782E-2</v>
      </c>
      <c r="C140">
        <v>2.2534708449028166E-3</v>
      </c>
      <c r="D140">
        <v>5.1015384615384612E-3</v>
      </c>
      <c r="E140">
        <v>6.2773722627737219E-3</v>
      </c>
      <c r="F140">
        <v>4.1964833367409528E-3</v>
      </c>
      <c r="G140">
        <v>6.4443942133815546E-3</v>
      </c>
      <c r="H140">
        <v>8.117977528089888E-3</v>
      </c>
      <c r="I140">
        <v>8.6484618043553407E-3</v>
      </c>
      <c r="J140">
        <v>1.277802995914662E-2</v>
      </c>
      <c r="K140">
        <v>1.5475946775844421E-2</v>
      </c>
      <c r="L140">
        <v>2.0122116689280867E-2</v>
      </c>
      <c r="M140">
        <v>2.6713111009593421E-2</v>
      </c>
    </row>
    <row r="141" spans="1:13">
      <c r="A141">
        <v>1.2946887492861221E-22</v>
      </c>
      <c r="B141">
        <v>2.2703936109526524E-2</v>
      </c>
      <c r="C141">
        <v>1.6846489488298296E-3</v>
      </c>
      <c r="D141">
        <v>2.1095384615384613E-3</v>
      </c>
      <c r="E141">
        <v>4.5562812139838642E-3</v>
      </c>
      <c r="F141">
        <v>2.6211408709875279E-3</v>
      </c>
      <c r="G141">
        <v>4.8372513562386981E-3</v>
      </c>
      <c r="H141">
        <v>5.5695224719101129E-3</v>
      </c>
      <c r="I141">
        <v>6.0525406152782584E-3</v>
      </c>
      <c r="J141">
        <v>9.1216522923286431E-3</v>
      </c>
      <c r="K141">
        <v>1.1013306038894576E-2</v>
      </c>
      <c r="L141">
        <v>1.4179104477611939E-2</v>
      </c>
      <c r="M141">
        <v>1.8718592964824119E-2</v>
      </c>
    </row>
    <row r="142" spans="1:13">
      <c r="A142">
        <v>1.3163906339234722E-22</v>
      </c>
      <c r="B142">
        <v>1.0574729035938391E-2</v>
      </c>
      <c r="C142">
        <v>7.4930583101943677E-4</v>
      </c>
      <c r="D142">
        <v>7.6147692307692303E-4</v>
      </c>
      <c r="E142">
        <v>3.5293891663465229E-3</v>
      </c>
      <c r="F142">
        <v>1.0744224085054181E-3</v>
      </c>
      <c r="G142">
        <v>2.744122965641953E-3</v>
      </c>
      <c r="H142">
        <v>4.7647471910112361E-3</v>
      </c>
      <c r="I142">
        <v>4.9014863463532664E-3</v>
      </c>
      <c r="J142">
        <v>6.2755333635950983E-3</v>
      </c>
      <c r="K142">
        <v>7.408734220402593E-3</v>
      </c>
      <c r="L142">
        <v>9.845318860244234E-3</v>
      </c>
      <c r="M142">
        <v>1.327089995431704E-2</v>
      </c>
    </row>
    <row r="143" spans="1:13">
      <c r="A143">
        <v>1.3375214163335238E-22</v>
      </c>
      <c r="B143">
        <v>2.9734740444951509E-3</v>
      </c>
      <c r="C143">
        <v>8.0523601745339157E-4</v>
      </c>
      <c r="D143">
        <v>2.8824615384615384E-24</v>
      </c>
      <c r="E143">
        <v>2.2577794852093737E-3</v>
      </c>
      <c r="F143">
        <v>1.5375178900020443E-5</v>
      </c>
      <c r="G143">
        <v>1.4186256781193488E-3</v>
      </c>
      <c r="H143">
        <v>3.3040730337078653E-3</v>
      </c>
      <c r="I143">
        <v>2.9215347390252333E-3</v>
      </c>
      <c r="J143">
        <v>4.550612800726282E-3</v>
      </c>
      <c r="K143">
        <v>5.0733538041624017E-3</v>
      </c>
      <c r="L143">
        <v>7.2293080054274088E-3</v>
      </c>
      <c r="M143">
        <v>9.5454545454545462E-3</v>
      </c>
    </row>
    <row r="144" spans="1:13">
      <c r="A144">
        <v>1.3586521987435751E-22</v>
      </c>
      <c r="B144">
        <v>5.4078722190530519E-3</v>
      </c>
      <c r="C144">
        <v>2.4882982943276481E-3</v>
      </c>
      <c r="D144">
        <v>2.9279999999999998E-24</v>
      </c>
      <c r="E144">
        <v>1.6492508643872453E-3</v>
      </c>
      <c r="F144">
        <v>1.7593539153547331E-24</v>
      </c>
      <c r="G144">
        <v>3.8833634719710671E-4</v>
      </c>
      <c r="H144">
        <v>1.7879213483146068E-3</v>
      </c>
      <c r="I144">
        <v>2.3892153473902525E-3</v>
      </c>
      <c r="J144">
        <v>2.7235587834770771E-3</v>
      </c>
      <c r="K144">
        <v>3.3452746502900033E-3</v>
      </c>
      <c r="L144">
        <v>5.2225237449118047E-3</v>
      </c>
      <c r="M144">
        <v>6.7622201918684328E-3</v>
      </c>
    </row>
    <row r="145" spans="1:13">
      <c r="A145">
        <v>1.3803540833809252E-22</v>
      </c>
      <c r="B145">
        <v>6.7027952082144892E-3</v>
      </c>
      <c r="C145">
        <v>6.870289567631893E-4</v>
      </c>
      <c r="D145">
        <v>1.1103999999999999E-4</v>
      </c>
      <c r="E145">
        <v>7.5220898962735303E-4</v>
      </c>
      <c r="F145">
        <v>1.7869556327949296E-24</v>
      </c>
      <c r="G145">
        <v>1.722649186256781E-24</v>
      </c>
      <c r="H145">
        <v>9.8665730337078655E-4</v>
      </c>
      <c r="I145">
        <v>1.202557898375389E-3</v>
      </c>
      <c r="J145">
        <v>1.8760780753517934E-3</v>
      </c>
      <c r="K145">
        <v>2.2500852951211191E-3</v>
      </c>
      <c r="L145">
        <v>3.4586160108548165E-3</v>
      </c>
      <c r="M145">
        <v>4.9349017816354493E-3</v>
      </c>
    </row>
    <row r="146" spans="1:13">
      <c r="A146">
        <v>1.4083380925185609E-22</v>
      </c>
      <c r="B146">
        <v>9.4152880775812901E-4</v>
      </c>
      <c r="C146">
        <v>2.8766362554541848E-4</v>
      </c>
      <c r="D146">
        <v>8.2916923076923079E-6</v>
      </c>
      <c r="E146">
        <v>1.3100268920476373E-4</v>
      </c>
      <c r="F146">
        <v>1.8237579227151909E-24</v>
      </c>
      <c r="G146">
        <v>1.7581374321880651E-24</v>
      </c>
      <c r="H146">
        <v>6.6790730337078658E-5</v>
      </c>
      <c r="I146">
        <v>9.6370549602488775E-4</v>
      </c>
      <c r="J146">
        <v>4.8093508851566045E-4</v>
      </c>
      <c r="K146">
        <v>1.2352439440464005E-3</v>
      </c>
      <c r="L146">
        <v>2.3080054274084126E-3</v>
      </c>
      <c r="M146">
        <v>3.1190041114664232E-3</v>
      </c>
    </row>
    <row r="147" spans="1:13">
      <c r="A147">
        <v>1.4254711593375214E-22</v>
      </c>
      <c r="B147">
        <v>2.926411865373645E-3</v>
      </c>
      <c r="C147">
        <v>1.4287980959936534E-3</v>
      </c>
      <c r="D147">
        <v>3.0719999999999998E-24</v>
      </c>
      <c r="E147">
        <v>1.9058778332693048E-24</v>
      </c>
      <c r="F147">
        <v>1.845225925168677E-24</v>
      </c>
      <c r="G147">
        <v>1.779385171790235E-24</v>
      </c>
      <c r="H147">
        <v>7.2542134831460678E-5</v>
      </c>
      <c r="I147">
        <v>1.8008987210508124E-4</v>
      </c>
      <c r="J147">
        <v>2.1305038583749433E-4</v>
      </c>
      <c r="K147">
        <v>2.6833845104060045E-4</v>
      </c>
      <c r="L147">
        <v>1.4572591587516961E-3</v>
      </c>
      <c r="M147">
        <v>1.803334856098675E-3</v>
      </c>
    </row>
    <row r="148" spans="1:13">
      <c r="A148">
        <v>1.4528840662478583E-22</v>
      </c>
      <c r="B148">
        <v>3.827723901882487E-3</v>
      </c>
      <c r="C148">
        <v>2.6029353431178107E-5</v>
      </c>
      <c r="D148">
        <v>3.1310769230769229E-24</v>
      </c>
      <c r="E148">
        <v>1.9419900115251633E-24</v>
      </c>
      <c r="F148">
        <v>1.8810059292578205E-24</v>
      </c>
      <c r="G148">
        <v>1.8130650994575046E-24</v>
      </c>
      <c r="H148">
        <v>1.7808988764044945E-24</v>
      </c>
      <c r="I148">
        <v>3.1787072243346009E-5</v>
      </c>
      <c r="J148">
        <v>1.1491148433953701E-24</v>
      </c>
      <c r="K148">
        <v>8.6369839645172298E-25</v>
      </c>
      <c r="L148">
        <v>8.8765264586160113E-4</v>
      </c>
      <c r="M148">
        <v>9.7761534947464587E-4</v>
      </c>
    </row>
    <row r="149" spans="1:13">
      <c r="A149">
        <v>1.4762992575671047E-22</v>
      </c>
      <c r="B149">
        <v>2.6925270964061609E-3</v>
      </c>
      <c r="C149">
        <v>3.4089646965489887E-5</v>
      </c>
      <c r="D149">
        <v>3.1815384615384617E-24</v>
      </c>
      <c r="E149">
        <v>1.9734921244717632E-24</v>
      </c>
      <c r="F149">
        <v>1.9106522183602533E-24</v>
      </c>
      <c r="G149">
        <v>1.8424502712477395E-24</v>
      </c>
      <c r="H149">
        <v>1.8096910112359549E-24</v>
      </c>
      <c r="I149">
        <v>1.7784306947805048E-24</v>
      </c>
      <c r="J149">
        <v>1.1677258284157968E-24</v>
      </c>
      <c r="K149">
        <v>8.7768679631525072E-25</v>
      </c>
      <c r="L149">
        <v>2.4179104477611938E-4</v>
      </c>
      <c r="M149">
        <v>2.1094106898126997E-4</v>
      </c>
    </row>
    <row r="150" spans="1:13">
      <c r="A150">
        <v>1.4991433466590521E-22</v>
      </c>
      <c r="B150">
        <v>3.7435824301197945E-23</v>
      </c>
      <c r="C150">
        <v>8.0007933359777875E-6</v>
      </c>
      <c r="D150">
        <v>3.2307692307692308E-24</v>
      </c>
      <c r="E150">
        <v>2.0046100653092584E-24</v>
      </c>
      <c r="F150">
        <v>1.9413207932938046E-24</v>
      </c>
      <c r="G150">
        <v>1.8713833634719708E-24</v>
      </c>
      <c r="H150">
        <v>1.8377808988764048E-24</v>
      </c>
      <c r="I150">
        <v>1.8064293121327345E-24</v>
      </c>
      <c r="J150">
        <v>1.186109850204267E-24</v>
      </c>
      <c r="K150">
        <v>8.9150460593654041E-25</v>
      </c>
      <c r="L150">
        <v>7.0909090909090914E-25</v>
      </c>
      <c r="M150">
        <v>5.9684787574234808E-25</v>
      </c>
    </row>
    <row r="151" spans="1:13">
      <c r="A151">
        <v>1.5237007424328954E-22</v>
      </c>
      <c r="B151">
        <v>3.804905875641757E-23</v>
      </c>
      <c r="C151">
        <v>1.0583101943673147E-23</v>
      </c>
      <c r="D151">
        <v>3.2836923076923077E-24</v>
      </c>
      <c r="E151">
        <v>2.0372646945831733E-24</v>
      </c>
      <c r="F151">
        <v>1.9730116540584748E-24</v>
      </c>
      <c r="G151">
        <v>1.9018987341772151E-24</v>
      </c>
      <c r="H151">
        <v>1.8679775280898879E-24</v>
      </c>
      <c r="I151">
        <v>1.8358105772554445E-24</v>
      </c>
      <c r="J151">
        <v>1.2054017249205629E-24</v>
      </c>
      <c r="K151">
        <v>9.0600477652678262E-25</v>
      </c>
      <c r="L151">
        <v>7.2062415196743557E-25</v>
      </c>
      <c r="M151">
        <v>6.0655550479671083E-25</v>
      </c>
    </row>
    <row r="152" spans="1:13">
      <c r="A152">
        <v>1.5482581382067391E-22</v>
      </c>
      <c r="B152">
        <v>3.3157444381061042E-3</v>
      </c>
      <c r="C152">
        <v>1.0753669178897264E-23</v>
      </c>
      <c r="D152">
        <v>3.3366153846153845E-24</v>
      </c>
      <c r="E152">
        <v>2.0699193238570877E-24</v>
      </c>
      <c r="F152">
        <v>2.0047025148231442E-24</v>
      </c>
      <c r="G152">
        <v>1.932640144665461E-24</v>
      </c>
      <c r="H152">
        <v>1.8981741573033707E-24</v>
      </c>
      <c r="I152">
        <v>1.8655375043207745E-24</v>
      </c>
      <c r="J152">
        <v>1.2249205628688153E-24</v>
      </c>
      <c r="K152">
        <v>9.2067553735926305E-25</v>
      </c>
      <c r="L152">
        <v>7.3229308005427408E-25</v>
      </c>
      <c r="M152">
        <v>6.163773412517131E-25</v>
      </c>
    </row>
    <row r="153" spans="1:13">
      <c r="A153">
        <v>1.5790976584808683E-22</v>
      </c>
      <c r="B153">
        <v>6.3220193953223043E-3</v>
      </c>
      <c r="C153">
        <v>1.0967869892899645E-23</v>
      </c>
      <c r="D153">
        <v>3.4030769230769229E-24</v>
      </c>
      <c r="E153">
        <v>2.1110257395313102E-24</v>
      </c>
      <c r="F153">
        <v>2.0445716622367615E-24</v>
      </c>
      <c r="G153">
        <v>1.9710669077757681E-24</v>
      </c>
      <c r="H153">
        <v>1.9360955056179775E-24</v>
      </c>
      <c r="I153">
        <v>1.902523332181127E-24</v>
      </c>
      <c r="J153">
        <v>1.2492056286881526E-24</v>
      </c>
      <c r="K153">
        <v>9.3892869327874443E-25</v>
      </c>
      <c r="L153">
        <v>7.4681139755766622E-25</v>
      </c>
      <c r="M153">
        <v>6.2859753312014616E-25</v>
      </c>
    </row>
    <row r="154" spans="1:13">
      <c r="A154">
        <v>1.604797258709309E-22</v>
      </c>
      <c r="B154">
        <v>1.0824301197946378E-2</v>
      </c>
      <c r="C154">
        <v>1.1146370487901628E-23</v>
      </c>
      <c r="D154">
        <v>3.4584615384615383E-24</v>
      </c>
      <c r="E154">
        <v>2.1452170572416441E-24</v>
      </c>
      <c r="F154">
        <v>2.0772848088325495E-24</v>
      </c>
      <c r="G154">
        <v>2.0029385171790235E-24</v>
      </c>
      <c r="H154">
        <v>1.9669943820224719E-24</v>
      </c>
      <c r="I154">
        <v>1.9332872450743173E-24</v>
      </c>
      <c r="J154">
        <v>1.2694053563322742E-24</v>
      </c>
      <c r="K154">
        <v>9.5411122483793915E-25</v>
      </c>
      <c r="L154">
        <v>7.5888738127544094E-25</v>
      </c>
      <c r="M154">
        <v>6.3876199177706714E-25</v>
      </c>
    </row>
    <row r="155" spans="1:13">
      <c r="A155">
        <v>2.3934894346087952E-2</v>
      </c>
      <c r="B155">
        <v>7.1634341129492307E-4</v>
      </c>
      <c r="C155">
        <v>1.1352637842126142E-23</v>
      </c>
      <c r="D155">
        <v>3.5224615384615388E-24</v>
      </c>
      <c r="E155">
        <v>2.1847867844794467E-24</v>
      </c>
      <c r="F155">
        <v>2.1161316704150479E-24</v>
      </c>
      <c r="G155">
        <v>2.0397830018083181E-24</v>
      </c>
      <c r="H155">
        <v>2.0035112359550563E-24</v>
      </c>
      <c r="I155">
        <v>1.9688904251641895E-24</v>
      </c>
      <c r="J155">
        <v>1.2927825692237858E-24</v>
      </c>
      <c r="K155">
        <v>9.7168201978846802E-25</v>
      </c>
      <c r="L155">
        <v>7.728629579375848E-25</v>
      </c>
      <c r="M155">
        <v>6.5052535404294198E-25</v>
      </c>
    </row>
    <row r="156" spans="1:13">
      <c r="A156">
        <v>4.1644774414620221E-3</v>
      </c>
      <c r="B156">
        <v>4.151454649172847E-23</v>
      </c>
      <c r="C156">
        <v>1.1547005156683858E-23</v>
      </c>
      <c r="D156">
        <v>3.5827692307692312E-24</v>
      </c>
      <c r="E156">
        <v>2.2224356511717247E-24</v>
      </c>
      <c r="F156">
        <v>2.1519116745041915E-24</v>
      </c>
      <c r="G156">
        <v>2.0748191681735988E-24</v>
      </c>
      <c r="H156">
        <v>2.0379213483146067E-24</v>
      </c>
      <c r="I156">
        <v>2.0027652955409612E-24</v>
      </c>
      <c r="J156">
        <v>1.3150249659555152E-24</v>
      </c>
      <c r="K156">
        <v>9.8839986352780616E-25</v>
      </c>
      <c r="L156">
        <v>7.8616010854816823E-25</v>
      </c>
      <c r="M156">
        <v>6.6171767930561899E-25</v>
      </c>
    </row>
    <row r="157" spans="1:13">
      <c r="A157">
        <v>6.7275842375785263E-3</v>
      </c>
      <c r="B157">
        <v>4.2241871078151738E-23</v>
      </c>
      <c r="C157">
        <v>1.1749305831019437E-23</v>
      </c>
      <c r="D157">
        <v>3.6455384615384614E-24</v>
      </c>
      <c r="E157">
        <v>2.2616212063004226E-24</v>
      </c>
      <c r="F157">
        <v>2.1897362502555713E-24</v>
      </c>
      <c r="G157">
        <v>2.1114376130198913E-24</v>
      </c>
      <c r="H157">
        <v>2.0737359550561799E-24</v>
      </c>
      <c r="I157">
        <v>2.0380228136882133E-24</v>
      </c>
      <c r="J157">
        <v>1.3381752156150705E-24</v>
      </c>
      <c r="K157">
        <v>1.005800068236097E-24</v>
      </c>
      <c r="L157">
        <v>8.0000000000000003E-25</v>
      </c>
      <c r="M157">
        <v>6.7336683417085423E-25</v>
      </c>
    </row>
    <row r="158" spans="1:13">
      <c r="A158">
        <v>1.7264420331239293E-22</v>
      </c>
      <c r="B158">
        <v>4.3111808328579582E-23</v>
      </c>
      <c r="C158">
        <v>1.199127330424435E-23</v>
      </c>
      <c r="D158">
        <v>3.7206153846153849E-24</v>
      </c>
      <c r="E158">
        <v>2.3077218593930079E-24</v>
      </c>
      <c r="F158">
        <v>2.2347168268247797E-24</v>
      </c>
      <c r="G158">
        <v>2.154611211573237E-24</v>
      </c>
      <c r="H158">
        <v>2.1165730337078652E-24</v>
      </c>
      <c r="I158">
        <v>2.0798479087452472E-24</v>
      </c>
      <c r="J158">
        <v>1.3656377666817977E-24</v>
      </c>
      <c r="K158">
        <v>1.0264414875469123E-24</v>
      </c>
      <c r="L158">
        <v>8.1641791044776114E-25</v>
      </c>
      <c r="M158">
        <v>6.8718592964824115E-25</v>
      </c>
    </row>
    <row r="159" spans="1:13">
      <c r="A159">
        <v>2.6499143346659048E-2</v>
      </c>
      <c r="B159">
        <v>4.5208214489446666E-3</v>
      </c>
      <c r="C159">
        <v>1.2201507338357795E-23</v>
      </c>
      <c r="D159">
        <v>3.7858461538461536E-24</v>
      </c>
      <c r="E159">
        <v>2.34882827506723E-24</v>
      </c>
      <c r="F159">
        <v>2.274585974238397E-24</v>
      </c>
      <c r="G159">
        <v>2.1928119349005423E-24</v>
      </c>
      <c r="H159">
        <v>2.1537921348314608E-24</v>
      </c>
      <c r="I159">
        <v>2.1168337366056E-24</v>
      </c>
      <c r="J159">
        <v>1.389922832501135E-24</v>
      </c>
      <c r="K159">
        <v>1.0446946434663937E-24</v>
      </c>
      <c r="L159">
        <v>8.3093622795115338E-25</v>
      </c>
      <c r="M159">
        <v>6.994061215166743E-25</v>
      </c>
    </row>
    <row r="160" spans="1:13">
      <c r="A160">
        <v>3.1964591661907481E-2</v>
      </c>
      <c r="B160">
        <v>3.9632059326868228E-3</v>
      </c>
      <c r="C160">
        <v>1.2419674732249109E-23</v>
      </c>
      <c r="D160">
        <v>3.8535384615384616E-24</v>
      </c>
      <c r="E160">
        <v>2.390318862850557E-24</v>
      </c>
      <c r="F160">
        <v>2.3144551216520139E-24</v>
      </c>
      <c r="G160">
        <v>2.2316907775768536E-24</v>
      </c>
      <c r="H160">
        <v>2.1924157303370788E-24</v>
      </c>
      <c r="I160">
        <v>2.1545108883511927E-24</v>
      </c>
      <c r="J160">
        <v>1.4146618247843851E-24</v>
      </c>
      <c r="K160">
        <v>1.0632889798703514E-24</v>
      </c>
      <c r="L160">
        <v>8.4572591587516957E-25</v>
      </c>
      <c r="M160">
        <v>7.1185472818638647E-25</v>
      </c>
    </row>
    <row r="161" spans="1:13">
      <c r="A161">
        <v>7.1330668189605942E-2</v>
      </c>
      <c r="B161">
        <v>4.5393610952652591E-23</v>
      </c>
      <c r="C161">
        <v>1.2625942086473622E-23</v>
      </c>
      <c r="D161">
        <v>3.9175384615384614E-24</v>
      </c>
      <c r="E161">
        <v>2.4302727621974642E-24</v>
      </c>
      <c r="F161">
        <v>2.3533019832345123E-24</v>
      </c>
      <c r="G161">
        <v>2.2694394213381552E-24</v>
      </c>
      <c r="H161">
        <v>2.2282303370786516E-24</v>
      </c>
      <c r="I161">
        <v>2.1901140684410648E-24</v>
      </c>
      <c r="J161">
        <v>1.4380390376758966E-24</v>
      </c>
      <c r="K161">
        <v>1.0808597748208802E-24</v>
      </c>
      <c r="L161">
        <v>8.5970149253731335E-25</v>
      </c>
      <c r="M161">
        <v>7.2361809045226121E-25</v>
      </c>
    </row>
    <row r="162" spans="1:13">
      <c r="A162">
        <v>4.0154197601370643E-2</v>
      </c>
      <c r="B162">
        <v>4.6177980604677697E-23</v>
      </c>
      <c r="C162">
        <v>1.2844109480364936E-23</v>
      </c>
      <c r="D162">
        <v>3.9852307692307694E-24</v>
      </c>
      <c r="E162">
        <v>2.4721475220898962E-24</v>
      </c>
      <c r="F162">
        <v>2.3941934164792474E-24</v>
      </c>
      <c r="G162">
        <v>2.307866184448463E-24</v>
      </c>
      <c r="H162">
        <v>2.2668539325842697E-24</v>
      </c>
      <c r="I162">
        <v>2.2277912201866578E-24</v>
      </c>
      <c r="J162">
        <v>1.4627780299591467E-24</v>
      </c>
      <c r="K162">
        <v>1.099454111224838E-24</v>
      </c>
      <c r="L162">
        <v>8.7449118046132972E-25</v>
      </c>
      <c r="M162">
        <v>7.3606669712197356E-25</v>
      </c>
    </row>
    <row r="163" spans="1:13">
      <c r="A163">
        <v>1.8903483723586523E-2</v>
      </c>
      <c r="B163">
        <v>4.7204791785510547E-23</v>
      </c>
      <c r="C163">
        <v>1.3129710432368108E-23</v>
      </c>
      <c r="D163">
        <v>4.0738461538461536E-24</v>
      </c>
      <c r="E163">
        <v>2.5270841336918937E-24</v>
      </c>
      <c r="F163">
        <v>2.4473522796974033E-24</v>
      </c>
      <c r="G163">
        <v>2.3598553345388788E-24</v>
      </c>
      <c r="H163">
        <v>2.3174157303370786E-24</v>
      </c>
      <c r="I163">
        <v>2.2772208779813342E-24</v>
      </c>
      <c r="J163">
        <v>1.4952337721289151E-24</v>
      </c>
      <c r="K163">
        <v>1.1238485158648924E-24</v>
      </c>
      <c r="L163">
        <v>8.9389416553595645E-25</v>
      </c>
      <c r="M163">
        <v>7.5239835541343078E-25</v>
      </c>
    </row>
    <row r="164" spans="1:13">
      <c r="A164">
        <v>0.12352941176470589</v>
      </c>
      <c r="B164">
        <v>4.8117512835139755E-23</v>
      </c>
      <c r="C164">
        <v>1.3383577945259818E-23</v>
      </c>
      <c r="D164">
        <v>4.1526153846153844E-24</v>
      </c>
      <c r="E164">
        <v>2.5758739915482138E-24</v>
      </c>
      <c r="F164">
        <v>2.4943774279288488E-24</v>
      </c>
      <c r="G164">
        <v>2.4050632911392401E-24</v>
      </c>
      <c r="H164">
        <v>2.3623595505617979E-24</v>
      </c>
      <c r="I164">
        <v>2.3214656066367094E-24</v>
      </c>
      <c r="J164">
        <v>1.5242850658193373E-24</v>
      </c>
      <c r="K164">
        <v>1.1456840668713749E-24</v>
      </c>
      <c r="L164">
        <v>9.1126187245590223E-25</v>
      </c>
      <c r="M164">
        <v>7.6701690269529453E-25</v>
      </c>
    </row>
    <row r="165" spans="1:13">
      <c r="A165">
        <v>5.8023986293546541E-2</v>
      </c>
      <c r="B165">
        <v>4.9044495151169426E-23</v>
      </c>
      <c r="C165">
        <v>1.3641412138040462E-23</v>
      </c>
      <c r="D165">
        <v>4.232615384615385E-24</v>
      </c>
      <c r="E165">
        <v>2.6254321936227427E-24</v>
      </c>
      <c r="F165">
        <v>2.5424248619914124E-24</v>
      </c>
      <c r="G165">
        <v>2.4502712477396021E-24</v>
      </c>
      <c r="H165">
        <v>2.4073033707865168E-24</v>
      </c>
      <c r="I165">
        <v>2.3660559972347047E-24</v>
      </c>
      <c r="J165">
        <v>1.5535633227417162E-24</v>
      </c>
      <c r="K165">
        <v>1.1676902081200956E-24</v>
      </c>
      <c r="L165">
        <v>9.2876526458616017E-25</v>
      </c>
      <c r="M165">
        <v>7.8174965737779817E-25</v>
      </c>
    </row>
    <row r="166" spans="1:13">
      <c r="A166">
        <v>4.3655054254711591E-2</v>
      </c>
      <c r="B166">
        <v>4.9971477467199086E-23</v>
      </c>
      <c r="C166">
        <v>1.3899246330821102E-23</v>
      </c>
      <c r="D166">
        <v>4.3126153846153847E-24</v>
      </c>
      <c r="E166">
        <v>2.6749903956972724E-24</v>
      </c>
      <c r="F166">
        <v>2.5904722960539768E-24</v>
      </c>
      <c r="G166">
        <v>2.4977396021699818E-24</v>
      </c>
      <c r="H166">
        <v>2.4529494382022473E-24</v>
      </c>
      <c r="I166">
        <v>2.4106463878327E-24</v>
      </c>
      <c r="J166">
        <v>1.5828415796640947E-24</v>
      </c>
      <c r="K166">
        <v>1.1896963493688162E-24</v>
      </c>
      <c r="L166">
        <v>9.4626865671641793E-25</v>
      </c>
      <c r="M166">
        <v>7.9648241206030152E-25</v>
      </c>
    </row>
    <row r="167" spans="1:13">
      <c r="A167">
        <v>7.7612792689891491E-2</v>
      </c>
      <c r="B167">
        <v>5.1041072447233311E-23</v>
      </c>
      <c r="C167">
        <v>1.4196747322491076E-23</v>
      </c>
      <c r="D167">
        <v>4.4049230769230763E-24</v>
      </c>
      <c r="E167">
        <v>2.732616212063004E-24</v>
      </c>
      <c r="F167">
        <v>2.6466980167654875E-24</v>
      </c>
      <c r="G167">
        <v>2.5519891500904157E-24</v>
      </c>
      <c r="H167">
        <v>2.5056179775280903E-24</v>
      </c>
      <c r="I167">
        <v>2.4628413411683374E-24</v>
      </c>
      <c r="J167">
        <v>1.6171130276895144E-24</v>
      </c>
      <c r="K167">
        <v>1.2154554759467759E-24</v>
      </c>
      <c r="L167">
        <v>9.667571234735414E-25</v>
      </c>
      <c r="M167">
        <v>8.1372772955687527E-25</v>
      </c>
    </row>
    <row r="168" spans="1:13">
      <c r="A168">
        <v>3.6310679611650486E-2</v>
      </c>
      <c r="B168">
        <v>5.2424415288077577E-23</v>
      </c>
      <c r="C168">
        <v>1.4581515271717573E-23</v>
      </c>
      <c r="D168">
        <v>4.5243076923076923E-24</v>
      </c>
      <c r="E168">
        <v>2.8063772570111409E-24</v>
      </c>
      <c r="F168">
        <v>2.7182580249437738E-24</v>
      </c>
      <c r="G168">
        <v>2.6198010849909584E-24</v>
      </c>
      <c r="H168">
        <v>2.5737359550561799E-24</v>
      </c>
      <c r="I168">
        <v>2.5292084341513999E-24</v>
      </c>
      <c r="J168">
        <v>1.6606899682251474E-24</v>
      </c>
      <c r="K168">
        <v>1.2482088024564993E-24</v>
      </c>
      <c r="L168">
        <v>9.9280868385345979E-25</v>
      </c>
      <c r="M168">
        <v>8.356555504796709E-25</v>
      </c>
    </row>
    <row r="169" spans="1:13">
      <c r="A169">
        <v>1.1227869788692176E-2</v>
      </c>
      <c r="B169">
        <v>5.3622361665715915E-23</v>
      </c>
      <c r="C169">
        <v>1.4914716382387943E-23</v>
      </c>
      <c r="D169">
        <v>4.6276923076923075E-24</v>
      </c>
      <c r="E169">
        <v>2.8709181713407606E-24</v>
      </c>
      <c r="F169">
        <v>2.7806174606419953E-24</v>
      </c>
      <c r="G169">
        <v>2.6808318264014465E-24</v>
      </c>
      <c r="H169">
        <v>2.6327247191011238E-24</v>
      </c>
      <c r="I169">
        <v>2.5872796405115801E-24</v>
      </c>
      <c r="J169">
        <v>1.6988197911938269E-24</v>
      </c>
      <c r="K169">
        <v>1.2768679631525076E-24</v>
      </c>
      <c r="L169">
        <v>1.0156037991858887E-24</v>
      </c>
      <c r="M169">
        <v>8.548423937871174E-25</v>
      </c>
    </row>
    <row r="170" spans="1:13">
      <c r="A170">
        <v>9.4346087949743005E-3</v>
      </c>
      <c r="B170">
        <v>5.5134055904164282E-23</v>
      </c>
      <c r="C170">
        <v>1.5335184450614837E-23</v>
      </c>
      <c r="D170">
        <v>4.7581538461538457E-24</v>
      </c>
      <c r="E170">
        <v>2.9519784863618898E-24</v>
      </c>
      <c r="F170">
        <v>2.8583111838069921E-24</v>
      </c>
      <c r="G170">
        <v>2.7554249547920434E-24</v>
      </c>
      <c r="H170">
        <v>2.7071629213483146E-24</v>
      </c>
      <c r="I170">
        <v>2.6602143104044247E-24</v>
      </c>
      <c r="J170">
        <v>1.7467090331366322E-24</v>
      </c>
      <c r="K170">
        <v>1.3128625042647561E-24</v>
      </c>
      <c r="L170">
        <v>1.0442333785617367E-24</v>
      </c>
      <c r="M170">
        <v>8.7894015532206481E-25</v>
      </c>
    </row>
    <row r="171" spans="1:13">
      <c r="A171">
        <v>1.8041119360365506E-2</v>
      </c>
      <c r="B171">
        <v>5.658870507701084E-23</v>
      </c>
      <c r="C171">
        <v>1.5739785799285999E-23</v>
      </c>
      <c r="D171">
        <v>4.8836923076923075E-24</v>
      </c>
      <c r="E171">
        <v>3.0295812524010757E-24</v>
      </c>
      <c r="F171">
        <v>2.9339603353097526E-24</v>
      </c>
      <c r="G171">
        <v>2.8277576853526218E-24</v>
      </c>
      <c r="H171">
        <v>2.7780898876404494E-24</v>
      </c>
      <c r="I171">
        <v>2.7303836847563084E-24</v>
      </c>
      <c r="J171">
        <v>1.792782569223786E-24</v>
      </c>
      <c r="K171">
        <v>1.3474923234390994E-24</v>
      </c>
      <c r="L171">
        <v>1.0717774762550881E-24</v>
      </c>
      <c r="M171">
        <v>9.0212425765189577E-25</v>
      </c>
    </row>
    <row r="172" spans="1:13">
      <c r="A172">
        <v>5.3969160479725865E-2</v>
      </c>
      <c r="B172">
        <v>5.83000570450656E-23</v>
      </c>
      <c r="C172">
        <v>1.6215787385957954E-23</v>
      </c>
      <c r="D172">
        <v>5.0313846153846153E-24</v>
      </c>
      <c r="E172">
        <v>3.1213983864771417E-24</v>
      </c>
      <c r="F172">
        <v>3.0228992026170517E-24</v>
      </c>
      <c r="G172">
        <v>2.9136528028933093E-24</v>
      </c>
      <c r="H172">
        <v>2.862359550561798E-24</v>
      </c>
      <c r="I172">
        <v>2.8129968890425164E-24</v>
      </c>
      <c r="J172">
        <v>1.8470267816613707E-24</v>
      </c>
      <c r="K172">
        <v>1.3882633913340156E-24</v>
      </c>
      <c r="L172">
        <v>1.1042062415196742E-24</v>
      </c>
      <c r="M172">
        <v>9.2941982640475089E-25</v>
      </c>
    </row>
    <row r="173" spans="1:13">
      <c r="A173">
        <v>2.4106225014277557E-22</v>
      </c>
      <c r="B173">
        <v>6.01968054763263E-23</v>
      </c>
      <c r="C173">
        <v>1.6743355811186039E-23</v>
      </c>
      <c r="D173">
        <v>5.1950769230769229E-24</v>
      </c>
      <c r="E173">
        <v>3.2228198232808298E-24</v>
      </c>
      <c r="F173">
        <v>3.1210386424044163E-24</v>
      </c>
      <c r="G173">
        <v>3.0085895117540687E-24</v>
      </c>
      <c r="H173">
        <v>2.955056179775281E-24</v>
      </c>
      <c r="I173">
        <v>2.9042516418942275E-24</v>
      </c>
      <c r="J173">
        <v>1.9069450748978668E-24</v>
      </c>
      <c r="K173">
        <v>1.4332992152848856E-24</v>
      </c>
      <c r="L173">
        <v>1.1400271370420624E-24</v>
      </c>
      <c r="M173">
        <v>9.5957058017359521E-25</v>
      </c>
    </row>
    <row r="174" spans="1:13">
      <c r="A174">
        <v>2.4900057110222732E-22</v>
      </c>
      <c r="B174">
        <v>5.7159155733029095E-4</v>
      </c>
      <c r="C174">
        <v>1.7294724315747723E-23</v>
      </c>
      <c r="D174">
        <v>5.3661538461538462E-24</v>
      </c>
      <c r="E174">
        <v>3.3284671532846712E-24</v>
      </c>
      <c r="F174">
        <v>3.223267225516254E-24</v>
      </c>
      <c r="G174">
        <v>3.1080470162748643E-24</v>
      </c>
      <c r="H174">
        <v>3.0519662921348313E-24</v>
      </c>
      <c r="I174">
        <v>2.9996543380573802E-24</v>
      </c>
      <c r="J174">
        <v>1.9695869269178395E-24</v>
      </c>
      <c r="K174">
        <v>1.4803821221426134E-24</v>
      </c>
      <c r="L174">
        <v>1.1774762550881953E-24</v>
      </c>
      <c r="M174">
        <v>9.9109182275011419E-25</v>
      </c>
    </row>
    <row r="175" spans="1:13">
      <c r="A175">
        <v>2.5711022272986865E-22</v>
      </c>
      <c r="B175">
        <v>3.3856246434683398E-4</v>
      </c>
      <c r="C175">
        <v>1.7857992859976201E-23</v>
      </c>
      <c r="D175">
        <v>5.5409230769230768E-24</v>
      </c>
      <c r="E175">
        <v>3.437187860161352E-24</v>
      </c>
      <c r="F175">
        <v>3.3285626661214472E-24</v>
      </c>
      <c r="G175">
        <v>3.2097649186256779E-24</v>
      </c>
      <c r="H175">
        <v>3.1523876404494385E-24</v>
      </c>
      <c r="I175">
        <v>3.0978223297614936E-24</v>
      </c>
      <c r="J175">
        <v>2.0340444847934636E-24</v>
      </c>
      <c r="K175">
        <v>1.5288297509382464E-24</v>
      </c>
      <c r="L175">
        <v>1.216010854816825E-24</v>
      </c>
      <c r="M175">
        <v>1.0235267245317496E-24</v>
      </c>
    </row>
    <row r="176" spans="1:13">
      <c r="A176">
        <v>1.7093089663049687E-2</v>
      </c>
      <c r="B176">
        <v>6.6771249286936674E-23</v>
      </c>
      <c r="C176">
        <v>1.8571995239984135E-23</v>
      </c>
      <c r="D176">
        <v>5.7624615384615376E-24</v>
      </c>
      <c r="E176">
        <v>3.5751056473300036E-24</v>
      </c>
      <c r="F176">
        <v>3.4624821099979555E-24</v>
      </c>
      <c r="G176">
        <v>3.3386075949367087E-24</v>
      </c>
      <c r="H176">
        <v>3.2780898876404495E-24</v>
      </c>
      <c r="I176">
        <v>3.2219149671621158E-24</v>
      </c>
      <c r="J176">
        <v>2.1155242850658196E-24</v>
      </c>
      <c r="K176">
        <v>1.5900716479017401E-24</v>
      </c>
      <c r="L176">
        <v>1.2647218453188603E-24</v>
      </c>
      <c r="M176">
        <v>1.0645271813613522E-24</v>
      </c>
    </row>
    <row r="177" spans="1:13">
      <c r="A177">
        <v>2.782981153626499E-22</v>
      </c>
      <c r="B177">
        <v>6.9495151169423849E-23</v>
      </c>
      <c r="C177">
        <v>1.9329631098770332E-23</v>
      </c>
      <c r="D177">
        <v>5.9975384615384614E-24</v>
      </c>
      <c r="E177">
        <v>3.7203227045716475E-24</v>
      </c>
      <c r="F177">
        <v>3.6025352688611734E-24</v>
      </c>
      <c r="G177">
        <v>3.474231464737794E-24</v>
      </c>
      <c r="H177">
        <v>3.4115168539325842E-24</v>
      </c>
      <c r="I177">
        <v>3.3525751814725203E-24</v>
      </c>
      <c r="J177">
        <v>2.2013163867453473E-24</v>
      </c>
      <c r="K177">
        <v>1.6545547594677585E-24</v>
      </c>
      <c r="L177">
        <v>1.3160108548168249E-24</v>
      </c>
      <c r="M177">
        <v>1.1076975788031064E-24</v>
      </c>
    </row>
    <row r="178" spans="1:13">
      <c r="A178">
        <v>1.1410622501427757E-2</v>
      </c>
      <c r="B178">
        <v>4.2241871078151742E-3</v>
      </c>
      <c r="C178">
        <v>2.0039666798889329E-23</v>
      </c>
      <c r="D178">
        <v>6.2178461538461534E-24</v>
      </c>
      <c r="E178">
        <v>3.8570879754129849E-24</v>
      </c>
      <c r="F178">
        <v>3.7354324269065631E-24</v>
      </c>
      <c r="G178">
        <v>3.6008137432188063E-24</v>
      </c>
      <c r="H178">
        <v>3.5372191011235956E-24</v>
      </c>
      <c r="I178">
        <v>3.4773591427583826E-24</v>
      </c>
      <c r="J178">
        <v>2.2832501134816163E-24</v>
      </c>
      <c r="K178">
        <v>1.7161378369157283E-24</v>
      </c>
      <c r="L178">
        <v>1.3649932157394844E-24</v>
      </c>
      <c r="M178">
        <v>1.1489264504339881E-24</v>
      </c>
    </row>
    <row r="179" spans="1:13">
      <c r="A179">
        <v>7.3101085094231869E-3</v>
      </c>
      <c r="B179">
        <v>2.9848830576155165E-2</v>
      </c>
      <c r="C179">
        <v>2.0955969853232845E-23</v>
      </c>
      <c r="D179">
        <v>6.5021538461538459E-24</v>
      </c>
      <c r="E179">
        <v>4.0338071456012294E-24</v>
      </c>
      <c r="F179">
        <v>3.906154160703333E-24</v>
      </c>
      <c r="G179">
        <v>3.7658227848101265E-24</v>
      </c>
      <c r="H179">
        <v>3.6987359550561799E-24</v>
      </c>
      <c r="I179">
        <v>3.6363636363636365E-24</v>
      </c>
      <c r="J179">
        <v>2.3876532001815705E-24</v>
      </c>
      <c r="K179">
        <v>1.7946093483452746E-24</v>
      </c>
      <c r="L179">
        <v>1.4274084124830393E-24</v>
      </c>
      <c r="M179">
        <v>1.2014618547281862E-24</v>
      </c>
    </row>
    <row r="180" spans="1:13">
      <c r="A180">
        <v>8.2752712735579669E-3</v>
      </c>
      <c r="B180">
        <v>4.3054763262977754E-2</v>
      </c>
      <c r="C180">
        <v>2.18048393494645E-23</v>
      </c>
      <c r="D180">
        <v>6.7655384615384622E-24</v>
      </c>
      <c r="E180">
        <v>4.1951594314252779E-24</v>
      </c>
      <c r="F180">
        <v>4.0646084645266814E-24</v>
      </c>
      <c r="G180">
        <v>3.9172694394213383E-24</v>
      </c>
      <c r="H180">
        <v>3.8483146067415731E-24</v>
      </c>
      <c r="I180">
        <v>3.7815416522640864E-24</v>
      </c>
      <c r="J180">
        <v>2.4829777576032687E-24</v>
      </c>
      <c r="K180">
        <v>1.8662572500852951E-24</v>
      </c>
      <c r="L180">
        <v>1.4843962008141114E-24</v>
      </c>
      <c r="M180">
        <v>1.2494289629968022E-24</v>
      </c>
    </row>
    <row r="181" spans="1:13">
      <c r="A181">
        <v>9.1890348372358654E-2</v>
      </c>
      <c r="B181">
        <v>1.2522818026240728E-2</v>
      </c>
      <c r="C181">
        <v>2.2832209440698138E-23</v>
      </c>
      <c r="D181">
        <v>7.0843076923076924E-24</v>
      </c>
      <c r="E181">
        <v>4.3949289281598151E-24</v>
      </c>
      <c r="F181">
        <v>4.2557759149458189E-24</v>
      </c>
      <c r="G181">
        <v>4.1026220614828202E-24</v>
      </c>
      <c r="H181">
        <v>4.029494382022472E-24</v>
      </c>
      <c r="I181">
        <v>3.9612858624265472E-24</v>
      </c>
      <c r="J181">
        <v>2.6009986382206085E-24</v>
      </c>
      <c r="K181">
        <v>1.9549641760491302E-24</v>
      </c>
      <c r="L181">
        <v>1.5549525101763909E-24</v>
      </c>
      <c r="M181">
        <v>1.3088168113293742E-24</v>
      </c>
    </row>
    <row r="182" spans="1:13">
      <c r="A182">
        <v>6.2307252998286697E-2</v>
      </c>
      <c r="B182">
        <v>4.4637763833428407E-2</v>
      </c>
      <c r="C182">
        <v>2.3970646568821899E-23</v>
      </c>
      <c r="D182">
        <v>7.4375384615384617E-24</v>
      </c>
      <c r="E182">
        <v>4.6139070303495966E-24</v>
      </c>
      <c r="F182">
        <v>4.4673890819873232E-24</v>
      </c>
      <c r="G182">
        <v>4.3083182640144663E-24</v>
      </c>
      <c r="H182">
        <v>4.231039325842697E-24</v>
      </c>
      <c r="I182">
        <v>4.1583131697200141E-24</v>
      </c>
      <c r="J182">
        <v>2.7303676804357694E-24</v>
      </c>
      <c r="K182">
        <v>2.0522006141248718E-24</v>
      </c>
      <c r="L182">
        <v>1.632293080054274E-24</v>
      </c>
      <c r="M182">
        <v>1.3739150296939241E-24</v>
      </c>
    </row>
    <row r="183" spans="1:13">
      <c r="A183">
        <v>5.3615077098800687E-2</v>
      </c>
      <c r="B183">
        <v>4.6477467199087276E-2</v>
      </c>
      <c r="C183">
        <v>8.687028956763189E-5</v>
      </c>
      <c r="D183">
        <v>7.7427692307692298E-24</v>
      </c>
      <c r="E183">
        <v>4.8021513638109868E-24</v>
      </c>
      <c r="F183">
        <v>4.6514005315886317E-24</v>
      </c>
      <c r="G183">
        <v>4.4846292947558768E-24</v>
      </c>
      <c r="H183">
        <v>4.4044943820224722E-24</v>
      </c>
      <c r="I183">
        <v>4.3276875216038718E-24</v>
      </c>
      <c r="J183">
        <v>2.8415796640944167E-24</v>
      </c>
      <c r="K183">
        <v>2.1357898328215625E-24</v>
      </c>
      <c r="L183">
        <v>1.6987788331071914E-24</v>
      </c>
      <c r="M183">
        <v>1.4298766560073092E-24</v>
      </c>
    </row>
    <row r="184" spans="1:13">
      <c r="A184">
        <v>0.13192461450599657</v>
      </c>
      <c r="B184">
        <v>3.8505419281232169E-2</v>
      </c>
      <c r="C184">
        <v>1.3395477984926616E-5</v>
      </c>
      <c r="D184">
        <v>8.1415384615384612E-24</v>
      </c>
      <c r="E184">
        <v>5.0518632347291582E-24</v>
      </c>
      <c r="F184">
        <v>4.8906154160703332E-24</v>
      </c>
      <c r="G184">
        <v>4.7151898734177215E-24</v>
      </c>
      <c r="H184">
        <v>4.6313202247191016E-24</v>
      </c>
      <c r="I184">
        <v>4.5523677843069479E-24</v>
      </c>
      <c r="J184">
        <v>2.9891057648660918E-24</v>
      </c>
      <c r="K184">
        <v>2.2466734902763562E-24</v>
      </c>
      <c r="L184">
        <v>1.7869742198100407E-24</v>
      </c>
      <c r="M184">
        <v>1.5041114664230241E-24</v>
      </c>
    </row>
    <row r="185" spans="1:13">
      <c r="A185">
        <v>7.7270131353512281E-2</v>
      </c>
      <c r="B185">
        <v>1.5587564175698803E-2</v>
      </c>
      <c r="C185">
        <v>1.7068623562078542E-3</v>
      </c>
      <c r="D185">
        <v>8.5390769230769223E-24</v>
      </c>
      <c r="E185">
        <v>5.2977333845562807E-24</v>
      </c>
      <c r="F185">
        <v>5.1298303005520339E-24</v>
      </c>
      <c r="G185">
        <v>4.9457504520795663E-24</v>
      </c>
      <c r="H185">
        <v>4.8574438202247193E-24</v>
      </c>
      <c r="I185">
        <v>4.7735914275838233E-24</v>
      </c>
      <c r="J185">
        <v>3.1343622333182026E-24</v>
      </c>
      <c r="K185">
        <v>2.3558512453087684E-24</v>
      </c>
      <c r="L185">
        <v>1.8738127544097694E-24</v>
      </c>
      <c r="M185">
        <v>1.5772042028323435E-24</v>
      </c>
    </row>
    <row r="186" spans="1:13">
      <c r="A186">
        <v>5.8766419189034837E-2</v>
      </c>
      <c r="B186">
        <v>7.1163719338277233E-3</v>
      </c>
      <c r="C186">
        <v>2.9258230860769539E-3</v>
      </c>
      <c r="D186">
        <v>8.9575384615384618E-24</v>
      </c>
      <c r="E186">
        <v>5.5551286976565502E-24</v>
      </c>
      <c r="F186">
        <v>5.3813126150071555E-24</v>
      </c>
      <c r="G186">
        <v>5.1876130198915006E-24</v>
      </c>
      <c r="H186">
        <v>5.0955056179775281E-24</v>
      </c>
      <c r="I186">
        <v>5.0086415485655032E-24</v>
      </c>
      <c r="J186">
        <v>3.2886972310485701E-24</v>
      </c>
      <c r="K186">
        <v>2.471852610030706E-24</v>
      </c>
      <c r="L186">
        <v>1.9660786974219809E-24</v>
      </c>
      <c r="M186">
        <v>1.6548652352672452E-24</v>
      </c>
    </row>
    <row r="187" spans="1:13">
      <c r="A187">
        <v>0.12158766419189035</v>
      </c>
      <c r="B187">
        <v>3.7264689104392467E-3</v>
      </c>
      <c r="C187">
        <v>1.0714002380007935E-4</v>
      </c>
      <c r="D187">
        <v>9.3735384615384607E-24</v>
      </c>
      <c r="E187">
        <v>5.816365731847868E-24</v>
      </c>
      <c r="F187">
        <v>5.6307503578000407E-24</v>
      </c>
      <c r="G187">
        <v>5.4294755877034357E-24</v>
      </c>
      <c r="H187">
        <v>5.3321629213483151E-24</v>
      </c>
      <c r="I187">
        <v>5.2402350501209817E-24</v>
      </c>
      <c r="J187">
        <v>3.4407625964593736E-24</v>
      </c>
      <c r="K187">
        <v>2.5861480723302626E-24</v>
      </c>
      <c r="L187">
        <v>2.0569877883310719E-24</v>
      </c>
      <c r="M187">
        <v>1.7313841936957514E-24</v>
      </c>
    </row>
    <row r="188" spans="1:13">
      <c r="A188">
        <v>0.10810965162764134</v>
      </c>
      <c r="B188">
        <v>1.8853394181403307E-3</v>
      </c>
      <c r="C188">
        <v>1.4077746925823088E-4</v>
      </c>
      <c r="D188">
        <v>9.9015384615384621E-24</v>
      </c>
      <c r="E188">
        <v>6.1429120245870147E-24</v>
      </c>
      <c r="F188">
        <v>5.947658965446739E-24</v>
      </c>
      <c r="G188">
        <v>5.7346292947558765E-24</v>
      </c>
      <c r="H188">
        <v>5.6320224719101125E-24</v>
      </c>
      <c r="I188">
        <v>5.5340477013480824E-24</v>
      </c>
      <c r="J188">
        <v>3.6336813436223333E-24</v>
      </c>
      <c r="K188">
        <v>2.7311497782326851E-24</v>
      </c>
      <c r="L188">
        <v>2.1723202170963364E-24</v>
      </c>
      <c r="M188">
        <v>1.8284604842393788E-24</v>
      </c>
    </row>
    <row r="189" spans="1:13">
      <c r="A189">
        <v>0.23432324386065104</v>
      </c>
      <c r="B189">
        <v>1.4774671990872787E-3</v>
      </c>
      <c r="C189">
        <v>3.3181277270924242E-3</v>
      </c>
      <c r="D189">
        <v>1.0460307692307692E-23</v>
      </c>
      <c r="E189">
        <v>6.4886669227814058E-24</v>
      </c>
      <c r="F189">
        <v>6.2839910038846863E-24</v>
      </c>
      <c r="G189">
        <v>6.0578661844484626E-24</v>
      </c>
      <c r="H189">
        <v>5.9501404494382021E-24</v>
      </c>
      <c r="I189">
        <v>5.8486000691323893E-24</v>
      </c>
      <c r="J189">
        <v>3.8402178847026785E-24</v>
      </c>
      <c r="K189">
        <v>2.8863868986693963E-24</v>
      </c>
      <c r="L189">
        <v>2.2957937584803259E-24</v>
      </c>
      <c r="M189">
        <v>1.9323892188213797E-24</v>
      </c>
    </row>
    <row r="190" spans="1:13">
      <c r="A190">
        <v>0.14266133637921188</v>
      </c>
      <c r="B190">
        <v>1.2742441528807758E-22</v>
      </c>
      <c r="C190">
        <v>5.1011503371677916E-3</v>
      </c>
      <c r="D190">
        <v>1.0996923076923077E-23</v>
      </c>
      <c r="E190">
        <v>6.8228966577026505E-24</v>
      </c>
      <c r="F190">
        <v>6.6060110406869757E-24</v>
      </c>
      <c r="G190">
        <v>6.3698010849909584E-24</v>
      </c>
      <c r="H190">
        <v>6.2556179775280907E-24</v>
      </c>
      <c r="I190">
        <v>6.1493259592118908E-24</v>
      </c>
      <c r="J190">
        <v>4.0376758965047662E-24</v>
      </c>
      <c r="K190">
        <v>3.0348004094165813E-24</v>
      </c>
      <c r="L190">
        <v>2.4138398914518314E-24</v>
      </c>
      <c r="M190">
        <v>2.031749657377798E-24</v>
      </c>
    </row>
    <row r="191" spans="1:13">
      <c r="A191">
        <v>0.11033695031410623</v>
      </c>
      <c r="B191">
        <v>1.1577296063890472E-2</v>
      </c>
      <c r="C191">
        <v>3.7163823879412938E-23</v>
      </c>
      <c r="D191">
        <v>1.1531076923076924E-23</v>
      </c>
      <c r="E191">
        <v>7.1532846715328469E-24</v>
      </c>
      <c r="F191">
        <v>6.927008791658148E-24</v>
      </c>
      <c r="G191">
        <v>6.6772151898734174E-24</v>
      </c>
      <c r="H191">
        <v>6.5589887640449438E-24</v>
      </c>
      <c r="I191">
        <v>6.4465952298651923E-24</v>
      </c>
      <c r="J191">
        <v>4.2328642759872899E-24</v>
      </c>
      <c r="K191">
        <v>3.1815080177413848E-24</v>
      </c>
      <c r="L191">
        <v>2.5305291723202169E-24</v>
      </c>
      <c r="M191">
        <v>2.1299680219278209E-24</v>
      </c>
    </row>
    <row r="192" spans="1:13">
      <c r="A192">
        <v>1.2695602512849801E-2</v>
      </c>
      <c r="B192">
        <v>9.9015972618368502E-4</v>
      </c>
      <c r="C192">
        <v>3.2788575961919877E-3</v>
      </c>
      <c r="D192">
        <v>1.2215384615384614E-23</v>
      </c>
      <c r="E192">
        <v>7.5797157126392622E-24</v>
      </c>
      <c r="F192">
        <v>7.3379676957677357E-24</v>
      </c>
      <c r="G192">
        <v>7.0750452079565996E-24</v>
      </c>
      <c r="H192">
        <v>6.9487359550561806E-24</v>
      </c>
      <c r="I192">
        <v>6.8302799861735223E-24</v>
      </c>
      <c r="J192">
        <v>4.4847934634589196E-24</v>
      </c>
      <c r="K192">
        <v>3.3708631866257248E-24</v>
      </c>
      <c r="L192">
        <v>2.6811397557666213E-24</v>
      </c>
      <c r="M192">
        <v>2.2567382366377342E-24</v>
      </c>
    </row>
    <row r="193" spans="1:13">
      <c r="A193">
        <v>3.0736721873215307E-2</v>
      </c>
      <c r="B193">
        <v>1.4945807187678266E-22</v>
      </c>
      <c r="C193">
        <v>4.1570805236017456E-23</v>
      </c>
      <c r="D193">
        <v>1.2898461538461538E-23</v>
      </c>
      <c r="E193">
        <v>8.0061467537456775E-24</v>
      </c>
      <c r="F193">
        <v>7.7519934573706798E-24</v>
      </c>
      <c r="G193">
        <v>7.4728752260397818E-24</v>
      </c>
      <c r="H193">
        <v>7.3384831460674166E-24</v>
      </c>
      <c r="I193">
        <v>7.2139647424818537E-24</v>
      </c>
      <c r="J193">
        <v>4.73672265093055E-24</v>
      </c>
      <c r="K193">
        <v>3.5602183555100648E-24</v>
      </c>
      <c r="L193">
        <v>2.831750339213026E-24</v>
      </c>
      <c r="M193">
        <v>2.3835084513476475E-24</v>
      </c>
    </row>
    <row r="194" spans="1:13">
      <c r="A194">
        <v>6.2935465448315258E-22</v>
      </c>
      <c r="B194">
        <v>1.5715915573302911E-22</v>
      </c>
      <c r="C194">
        <v>4.371281237604126E-23</v>
      </c>
      <c r="D194">
        <v>1.3563076923076924E-23</v>
      </c>
      <c r="E194">
        <v>8.4095274683058002E-24</v>
      </c>
      <c r="F194">
        <v>8.1445512165201385E-24</v>
      </c>
      <c r="G194">
        <v>7.852622061482821E-24</v>
      </c>
      <c r="H194">
        <v>7.710674157303372E-24</v>
      </c>
      <c r="I194">
        <v>7.5803664016591783E-24</v>
      </c>
      <c r="J194">
        <v>4.9773036768043583E-24</v>
      </c>
      <c r="K194">
        <v>3.7410440122824978E-24</v>
      </c>
      <c r="L194">
        <v>2.9755766621438264E-24</v>
      </c>
      <c r="M194">
        <v>2.5045682960255825E-24</v>
      </c>
    </row>
    <row r="195" spans="1:13">
      <c r="A195">
        <v>0.19406053683609367</v>
      </c>
      <c r="B195">
        <v>1.6543069024529376E-22</v>
      </c>
      <c r="C195">
        <v>3.7278857596191994E-3</v>
      </c>
      <c r="D195">
        <v>1.4276923076923076E-23</v>
      </c>
      <c r="E195">
        <v>8.8551671148674598E-24</v>
      </c>
      <c r="F195">
        <v>8.5769781230832145E-24</v>
      </c>
      <c r="G195">
        <v>8.2685352622061492E-24</v>
      </c>
      <c r="H195">
        <v>8.125E-24</v>
      </c>
      <c r="I195">
        <v>7.9813342550985137E-24</v>
      </c>
      <c r="J195">
        <v>5.2405810258738088E-24</v>
      </c>
      <c r="K195">
        <v>3.938928693278744E-24</v>
      </c>
      <c r="L195">
        <v>3.1329715061058344E-24</v>
      </c>
      <c r="M195">
        <v>2.6370488807674738E-24</v>
      </c>
    </row>
    <row r="196" spans="1:13">
      <c r="A196">
        <v>5.2050256996002279E-3</v>
      </c>
      <c r="B196">
        <v>1.7512835139760409E-22</v>
      </c>
      <c r="C196">
        <v>1E-4</v>
      </c>
      <c r="D196">
        <v>1.5113846153846152E-23</v>
      </c>
      <c r="E196">
        <v>9.3737994621590471E-24</v>
      </c>
      <c r="F196">
        <v>9.0768758945001013E-24</v>
      </c>
      <c r="G196">
        <v>8.7499999999999998E-24</v>
      </c>
      <c r="H196">
        <v>8.5955056179775292E-24</v>
      </c>
      <c r="I196">
        <v>8.4479778776356728E-24</v>
      </c>
      <c r="J196">
        <v>5.5469813890149798E-24</v>
      </c>
      <c r="K196">
        <v>4.169225520300239E-24</v>
      </c>
      <c r="L196">
        <v>3.3161465400271369E-24</v>
      </c>
      <c r="M196">
        <v>2.7912288716308818E-24</v>
      </c>
    </row>
    <row r="197" spans="1:13">
      <c r="A197">
        <v>2.3552255853797829E-2</v>
      </c>
      <c r="B197">
        <v>1.8482601254991443E-22</v>
      </c>
      <c r="C197">
        <v>5.1408171360571208E-23</v>
      </c>
      <c r="D197">
        <v>1.5950769230769231E-23</v>
      </c>
      <c r="E197">
        <v>9.8962735305416827E-24</v>
      </c>
      <c r="F197">
        <v>9.5818850950725815E-24</v>
      </c>
      <c r="G197">
        <v>9.2382459312839061E-24</v>
      </c>
      <c r="H197">
        <v>9.0730337078651698E-24</v>
      </c>
      <c r="I197">
        <v>8.9180781195990328E-24</v>
      </c>
      <c r="J197">
        <v>5.8556513844757148E-24</v>
      </c>
      <c r="K197">
        <v>4.4012282497441143E-24</v>
      </c>
      <c r="L197">
        <v>3.5006784260515599E-24</v>
      </c>
      <c r="M197">
        <v>2.9465509365006852E-24</v>
      </c>
    </row>
    <row r="198" spans="1:13">
      <c r="A198">
        <v>2.4334665905197034E-2</v>
      </c>
      <c r="B198">
        <v>1.9580718767826582E-22</v>
      </c>
      <c r="C198">
        <v>5.4462514875049585E-23</v>
      </c>
      <c r="D198">
        <v>1.6898461538461537E-23</v>
      </c>
      <c r="E198">
        <v>1.0484056857472148E-23</v>
      </c>
      <c r="F198">
        <v>1.0154365160498875E-23</v>
      </c>
      <c r="G198">
        <v>9.7897830018083182E-24</v>
      </c>
      <c r="H198">
        <v>9.6137640449438215E-24</v>
      </c>
      <c r="I198">
        <v>9.4503975112340142E-24</v>
      </c>
      <c r="J198">
        <v>6.2051747616886071E-24</v>
      </c>
      <c r="K198">
        <v>4.6639372227908566E-24</v>
      </c>
      <c r="L198">
        <v>3.7096336499321572E-24</v>
      </c>
      <c r="M198">
        <v>3.1224303334856101E-24</v>
      </c>
    </row>
    <row r="199" spans="1:13">
      <c r="A199">
        <v>8.2981153626499145E-22</v>
      </c>
      <c r="B199">
        <v>6.4004563605248145E-3</v>
      </c>
      <c r="C199">
        <v>5.7635858786195958E-23</v>
      </c>
      <c r="D199">
        <v>1.7883076923076924E-23</v>
      </c>
      <c r="E199">
        <v>1.1091048789857856E-23</v>
      </c>
      <c r="F199">
        <v>1.0744224085054181E-23</v>
      </c>
      <c r="G199">
        <v>1.0357142857142857E-23</v>
      </c>
      <c r="H199">
        <v>1.0175561797752809E-23</v>
      </c>
      <c r="I199">
        <v>9.9965433805737988E-24</v>
      </c>
      <c r="J199">
        <v>6.5637766681797555E-24</v>
      </c>
      <c r="K199">
        <v>4.9334698055271233E-24</v>
      </c>
      <c r="L199">
        <v>3.9240162822252372E-24</v>
      </c>
      <c r="M199">
        <v>3.3028780264961169E-24</v>
      </c>
    </row>
    <row r="200" spans="1:13">
      <c r="A200">
        <v>1.7264420331239292E-2</v>
      </c>
      <c r="B200">
        <v>0.10405019965772962</v>
      </c>
      <c r="C200">
        <v>6.1681872272907575E-23</v>
      </c>
      <c r="D200">
        <v>1.9138461538461536E-23</v>
      </c>
      <c r="E200">
        <v>1.1874759892431809E-23</v>
      </c>
      <c r="F200">
        <v>1.1500715600081782E-23</v>
      </c>
      <c r="G200">
        <v>1.1084990958408679E-23</v>
      </c>
      <c r="H200">
        <v>1.0884831460674157E-23</v>
      </c>
      <c r="I200">
        <v>1.0701693743518839E-23</v>
      </c>
      <c r="J200">
        <v>7.0267816613708584E-24</v>
      </c>
      <c r="K200">
        <v>5.281473899692937E-24</v>
      </c>
      <c r="L200">
        <v>4.2008141112618717E-24</v>
      </c>
      <c r="M200">
        <v>3.5358611238008216E-24</v>
      </c>
    </row>
    <row r="201" spans="1:13">
      <c r="A201">
        <v>4.047401484865791E-2</v>
      </c>
      <c r="B201">
        <v>4.0373645179691955E-2</v>
      </c>
      <c r="C201">
        <v>6.5013883379611267E-23</v>
      </c>
      <c r="D201">
        <v>2.0172307692307691E-23</v>
      </c>
      <c r="E201">
        <v>1.2512485593545908E-23</v>
      </c>
      <c r="F201">
        <v>1.211408709875281E-23</v>
      </c>
      <c r="G201">
        <v>1.1681735985533454E-23</v>
      </c>
      <c r="H201">
        <v>1.1474719101123595E-23</v>
      </c>
      <c r="I201">
        <v>1.1275492568268234E-23</v>
      </c>
      <c r="J201">
        <v>7.4035406264185202E-24</v>
      </c>
      <c r="K201">
        <v>5.5646537018082561E-24</v>
      </c>
      <c r="L201">
        <v>4.4260515603799181E-24</v>
      </c>
      <c r="M201">
        <v>3.7254454088624939E-24</v>
      </c>
    </row>
    <row r="202" spans="1:13">
      <c r="A202">
        <v>9.9314677327241579E-22</v>
      </c>
      <c r="B202">
        <v>1.9594980034227039E-2</v>
      </c>
      <c r="C202">
        <v>6.8980563268544224E-23</v>
      </c>
      <c r="D202">
        <v>2.140307692307692E-23</v>
      </c>
      <c r="E202">
        <v>1.3280829811755664E-23</v>
      </c>
      <c r="F202">
        <v>1.2860355755469228E-23</v>
      </c>
      <c r="G202">
        <v>1.2398282097649186E-23</v>
      </c>
      <c r="H202">
        <v>1.2176966292134832E-23</v>
      </c>
      <c r="I202">
        <v>1.1966816453508469E-23</v>
      </c>
      <c r="J202">
        <v>7.8574670903313671E-24</v>
      </c>
      <c r="K202">
        <v>5.9058341862845448E-24</v>
      </c>
      <c r="L202">
        <v>4.6974219810040705E-24</v>
      </c>
      <c r="M202">
        <v>3.9538602101416175E-24</v>
      </c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8"/>
  <dimension ref="A1:S202"/>
  <sheetViews>
    <sheetView workbookViewId="0">
      <selection activeCell="G1" sqref="G1"/>
    </sheetView>
  </sheetViews>
  <sheetFormatPr defaultRowHeight="16.5"/>
  <sheetData>
    <row r="1" spans="1:19">
      <c r="A1">
        <v>2</v>
      </c>
      <c r="B1">
        <v>2.0499999999999998</v>
      </c>
      <c r="C1">
        <v>2.1</v>
      </c>
      <c r="D1">
        <v>2.15</v>
      </c>
      <c r="E1">
        <v>2.2000000000000002</v>
      </c>
      <c r="F1">
        <v>2.25</v>
      </c>
      <c r="G1">
        <v>2.2999999999999998</v>
      </c>
      <c r="H1">
        <v>2.35</v>
      </c>
      <c r="I1">
        <v>2.4</v>
      </c>
      <c r="J1">
        <v>2.4500000000000002</v>
      </c>
      <c r="K1">
        <v>2.5</v>
      </c>
      <c r="L1">
        <v>2.5499999999999998</v>
      </c>
      <c r="M1">
        <v>2.6</v>
      </c>
      <c r="N1">
        <v>2.65</v>
      </c>
      <c r="O1">
        <v>2.7</v>
      </c>
      <c r="P1">
        <v>2.75</v>
      </c>
      <c r="Q1">
        <v>2.8</v>
      </c>
      <c r="R1">
        <v>2.85</v>
      </c>
      <c r="S1">
        <v>2.9</v>
      </c>
    </row>
    <row r="2" spans="1:19">
      <c r="A2">
        <v>3.2529221586669978E-22</v>
      </c>
      <c r="B2">
        <v>5.2805813484053286E-23</v>
      </c>
      <c r="C2">
        <v>8.5017874553136172E-24</v>
      </c>
      <c r="D2">
        <v>3.1623258631132644E-24</v>
      </c>
      <c r="E2">
        <v>3.3781785925487875E-24</v>
      </c>
      <c r="F2">
        <v>2.7153284671532845E-24</v>
      </c>
      <c r="G2">
        <v>3.3027054619703931E-24</v>
      </c>
      <c r="H2">
        <v>3.30781010719755E-24</v>
      </c>
      <c r="I2">
        <v>3.2934625696019799E-24</v>
      </c>
      <c r="J2">
        <v>3.3092006033182502E-24</v>
      </c>
      <c r="K2">
        <v>2.9839541547277933E-24</v>
      </c>
      <c r="L2">
        <v>2.3507900677200902E-24</v>
      </c>
      <c r="M2">
        <v>1.8948326055312954E-24</v>
      </c>
      <c r="N2">
        <v>1.5473997028231797E-24</v>
      </c>
      <c r="O2">
        <v>1.274975514201763E-24</v>
      </c>
      <c r="P2">
        <v>1.0633040637124769E-24</v>
      </c>
      <c r="Q2">
        <v>8.9559683522531822E-25</v>
      </c>
      <c r="R2">
        <v>7.5321857370172131E-25</v>
      </c>
      <c r="S2">
        <v>6.3670824162386882E-25</v>
      </c>
    </row>
    <row r="3" spans="1:19">
      <c r="A3">
        <v>3.2529221586669978E-22</v>
      </c>
      <c r="B3">
        <v>5.2805813484053286E-23</v>
      </c>
      <c r="C3">
        <v>8.5017874553136172E-24</v>
      </c>
      <c r="D3">
        <v>3.1623258631132644E-24</v>
      </c>
      <c r="E3">
        <v>3.3781785925487875E-24</v>
      </c>
      <c r="F3">
        <v>2.7153284671532845E-24</v>
      </c>
      <c r="G3">
        <v>3.3027054619703931E-24</v>
      </c>
      <c r="H3">
        <v>3.3093415007656968E-24</v>
      </c>
      <c r="I3">
        <v>3.2944937100433079E-24</v>
      </c>
      <c r="J3">
        <v>3.3092006033182502E-24</v>
      </c>
      <c r="K3">
        <v>2.9839541547277933E-24</v>
      </c>
      <c r="L3">
        <v>2.3507900677200902E-24</v>
      </c>
      <c r="M3">
        <v>1.8948326055312954E-24</v>
      </c>
      <c r="N3">
        <v>1.5473997028231797E-24</v>
      </c>
      <c r="O3">
        <v>1.274975514201763E-24</v>
      </c>
      <c r="P3">
        <v>1.0633040637124769E-24</v>
      </c>
      <c r="Q3">
        <v>8.9559683522531822E-25</v>
      </c>
      <c r="R3">
        <v>7.5321857370172131E-25</v>
      </c>
      <c r="S3">
        <v>6.3670824162386882E-25</v>
      </c>
    </row>
    <row r="4" spans="1:19">
      <c r="A4">
        <v>3.0987316587913451E-22</v>
      </c>
      <c r="B4">
        <v>5.0302785627775534E-23</v>
      </c>
      <c r="C4">
        <v>8.0987975300617483E-24</v>
      </c>
      <c r="D4">
        <v>3.012719563900666E-24</v>
      </c>
      <c r="E4">
        <v>3.2185097575399167E-24</v>
      </c>
      <c r="F4">
        <v>2.586548488008342E-24</v>
      </c>
      <c r="G4">
        <v>3.1470137825421134E-24</v>
      </c>
      <c r="H4">
        <v>3.1516079632465542E-24</v>
      </c>
      <c r="I4">
        <v>3.1377603629614355E-24</v>
      </c>
      <c r="J4">
        <v>3.152337858220211E-24</v>
      </c>
      <c r="K4">
        <v>2.8424068767908305E-24</v>
      </c>
      <c r="L4">
        <v>2.2392776523702034E-24</v>
      </c>
      <c r="M4">
        <v>1.8049490538573508E-24</v>
      </c>
      <c r="N4">
        <v>1.4739970282317978E-24</v>
      </c>
      <c r="O4">
        <v>1.2144955925563174E-24</v>
      </c>
      <c r="P4">
        <v>1.0128650193996323E-24</v>
      </c>
      <c r="Q4">
        <v>8.5311317509459927E-25</v>
      </c>
      <c r="R4">
        <v>7.1748878923766811E-25</v>
      </c>
      <c r="S4">
        <v>6.0650525800929317E-25</v>
      </c>
    </row>
    <row r="5" spans="1:19">
      <c r="A5">
        <v>3.025366824173091E-22</v>
      </c>
      <c r="B5">
        <v>4.9111828825191764E-23</v>
      </c>
      <c r="C5">
        <v>7.9070523236919082E-24</v>
      </c>
      <c r="D5">
        <v>2.9418534221683824E-24</v>
      </c>
      <c r="E5">
        <v>3.1431105854523948E-24</v>
      </c>
      <c r="F5">
        <v>2.5260688216892598E-24</v>
      </c>
      <c r="G5">
        <v>3.0729964267483413E-24</v>
      </c>
      <c r="H5">
        <v>3.0781010719754975E-24</v>
      </c>
      <c r="I5">
        <v>3.0645493916271398E-24</v>
      </c>
      <c r="J5">
        <v>3.0784313725490194E-24</v>
      </c>
      <c r="K5">
        <v>2.7759312320916904E-24</v>
      </c>
      <c r="L5">
        <v>2.1869074492099326E-24</v>
      </c>
      <c r="M5">
        <v>1.7627365356622998E-24</v>
      </c>
      <c r="N5">
        <v>1.4395245170876672E-24</v>
      </c>
      <c r="O5">
        <v>1.1860920666013715E-24</v>
      </c>
      <c r="P5">
        <v>9.8917704717173784E-25</v>
      </c>
      <c r="Q5">
        <v>8.3316133470932231E-25</v>
      </c>
      <c r="R5">
        <v>7.0070880948936783E-25</v>
      </c>
      <c r="S5">
        <v>5.923208608461726E-25</v>
      </c>
    </row>
    <row r="6" spans="1:19">
      <c r="A6">
        <v>2.9681671226063167E-22</v>
      </c>
      <c r="B6">
        <v>4.8183286233346786E-23</v>
      </c>
      <c r="C6">
        <v>7.7575560610984724E-24</v>
      </c>
      <c r="D6">
        <v>2.8855239248940034E-24</v>
      </c>
      <c r="E6">
        <v>3.0824955647545828E-24</v>
      </c>
      <c r="F6">
        <v>2.4775808133472369E-24</v>
      </c>
      <c r="G6">
        <v>3.0142930066360389E-24</v>
      </c>
      <c r="H6">
        <v>3.0183767228177643E-24</v>
      </c>
      <c r="I6">
        <v>3.0057743864714375E-24</v>
      </c>
      <c r="J6">
        <v>3.0196078431372546E-24</v>
      </c>
      <c r="K6">
        <v>2.7226361031518625E-24</v>
      </c>
      <c r="L6">
        <v>2.1449209932279914E-24</v>
      </c>
      <c r="M6">
        <v>1.7288937409024745E-24</v>
      </c>
      <c r="N6">
        <v>1.4118870728083209E-24</v>
      </c>
      <c r="O6">
        <v>1.1633202742409404E-24</v>
      </c>
      <c r="P6">
        <v>9.7018582805799469E-25</v>
      </c>
      <c r="Q6">
        <v>8.1716546267629861E-25</v>
      </c>
      <c r="R6">
        <v>6.8725589469116157E-25</v>
      </c>
      <c r="S6">
        <v>5.8094888725849836E-25</v>
      </c>
    </row>
    <row r="7" spans="1:19">
      <c r="A7">
        <v>2.85749813479234E-22</v>
      </c>
      <c r="B7">
        <v>4.6386758175211948E-23</v>
      </c>
      <c r="C7">
        <v>7.4683132921676965E-24</v>
      </c>
      <c r="D7">
        <v>2.7777104784978799E-24</v>
      </c>
      <c r="E7">
        <v>2.9671791839148431E-24</v>
      </c>
      <c r="F7">
        <v>2.3852971845672575E-24</v>
      </c>
      <c r="G7">
        <v>2.9019908116385916E-24</v>
      </c>
      <c r="H7">
        <v>2.9065849923430324E-24</v>
      </c>
      <c r="I7">
        <v>2.8933800783666736E-24</v>
      </c>
      <c r="J7">
        <v>2.9064856711915533E-24</v>
      </c>
      <c r="K7">
        <v>2.6212034383954154E-24</v>
      </c>
      <c r="L7">
        <v>2.0650112866817158E-24</v>
      </c>
      <c r="M7">
        <v>1.6644832605531294E-24</v>
      </c>
      <c r="N7">
        <v>1.3592867756315005E-24</v>
      </c>
      <c r="O7">
        <v>1.1199804113614104E-24</v>
      </c>
      <c r="P7">
        <v>9.3404124974474155E-25</v>
      </c>
      <c r="Q7">
        <v>7.867217062263502E-25</v>
      </c>
      <c r="R7">
        <v>6.616519600752206E-25</v>
      </c>
      <c r="S7">
        <v>5.5930545365615062E-25</v>
      </c>
    </row>
    <row r="8" spans="1:19">
      <c r="A8">
        <v>2.7816463566277044E-22</v>
      </c>
      <c r="B8">
        <v>4.5155429955591439E-23</v>
      </c>
      <c r="C8">
        <v>7.2700682482937935E-24</v>
      </c>
      <c r="D8">
        <v>2.7044215626892793E-24</v>
      </c>
      <c r="E8">
        <v>2.8888231815493787E-24</v>
      </c>
      <c r="F8">
        <v>2.3222106360792493E-24</v>
      </c>
      <c r="G8">
        <v>2.8254211332312405E-24</v>
      </c>
      <c r="H8">
        <v>2.8300153139356813E-24</v>
      </c>
      <c r="I8">
        <v>2.8170756857083935E-24</v>
      </c>
      <c r="J8">
        <v>2.8295625942684761E-24</v>
      </c>
      <c r="K8">
        <v>2.5518624641833808E-24</v>
      </c>
      <c r="L8">
        <v>2.0103837471783299E-24</v>
      </c>
      <c r="M8">
        <v>1.6204512372634643E-24</v>
      </c>
      <c r="N8">
        <v>1.3233283803863298E-24</v>
      </c>
      <c r="O8">
        <v>1.0903525954946132E-24</v>
      </c>
      <c r="P8">
        <v>9.0933224423116197E-25</v>
      </c>
      <c r="Q8">
        <v>7.6590987272101826E-25</v>
      </c>
      <c r="R8">
        <v>6.4414870533776938E-25</v>
      </c>
      <c r="S8">
        <v>5.4450966006358521E-25</v>
      </c>
    </row>
    <row r="9" spans="1:19">
      <c r="A9">
        <v>2.6411340462571501E-22</v>
      </c>
      <c r="B9">
        <v>4.2874444893015745E-23</v>
      </c>
      <c r="C9">
        <v>6.9028274293142675E-24</v>
      </c>
      <c r="D9">
        <v>2.5681405208964262E-24</v>
      </c>
      <c r="E9">
        <v>2.7439384979302185E-24</v>
      </c>
      <c r="F9">
        <v>2.2049009384775809E-24</v>
      </c>
      <c r="G9">
        <v>2.6824910668708526E-24</v>
      </c>
      <c r="H9">
        <v>2.6860643185298623E-24</v>
      </c>
      <c r="I9">
        <v>2.6747783048051145E-24</v>
      </c>
      <c r="J9">
        <v>2.6870286576168928E-24</v>
      </c>
      <c r="K9">
        <v>2.4229226361031517E-24</v>
      </c>
      <c r="L9">
        <v>1.908803611738149E-24</v>
      </c>
      <c r="M9">
        <v>1.5385735080058221E-24</v>
      </c>
      <c r="N9">
        <v>1.2564635958395243E-24</v>
      </c>
      <c r="O9">
        <v>1.0352595494613124E-24</v>
      </c>
      <c r="P9">
        <v>8.633857463753317E-25</v>
      </c>
      <c r="Q9">
        <v>7.2721018231854142E-25</v>
      </c>
      <c r="R9">
        <v>6.1160133082598002E-25</v>
      </c>
      <c r="S9">
        <v>5.1699682073856677E-25</v>
      </c>
    </row>
    <row r="10" spans="1:19">
      <c r="A10">
        <v>2.5976125341954736E-22</v>
      </c>
      <c r="B10">
        <v>4.2167945094872831E-23</v>
      </c>
      <c r="C10">
        <v>6.7890802729931746E-24</v>
      </c>
      <c r="D10">
        <v>2.5263476680799517E-24</v>
      </c>
      <c r="E10">
        <v>2.6995860437610882E-24</v>
      </c>
      <c r="F10">
        <v>2.1689259645464027E-24</v>
      </c>
      <c r="G10">
        <v>2.6391015824400205E-24</v>
      </c>
      <c r="H10">
        <v>2.6431852986217456E-24</v>
      </c>
      <c r="I10">
        <v>2.6314704062693339E-24</v>
      </c>
      <c r="J10">
        <v>2.6432880844645549E-24</v>
      </c>
      <c r="K10">
        <v>2.3833810888252146E-24</v>
      </c>
      <c r="L10">
        <v>1.8776523702031604E-24</v>
      </c>
      <c r="M10">
        <v>1.5134643377001454E-24</v>
      </c>
      <c r="N10">
        <v>1.2359583952451708E-24</v>
      </c>
      <c r="O10">
        <v>1.0183643486777669E-24</v>
      </c>
      <c r="P10">
        <v>8.4929548703287711E-25</v>
      </c>
      <c r="Q10">
        <v>7.1534227726178184E-25</v>
      </c>
      <c r="R10">
        <v>6.0162013597569787E-25</v>
      </c>
      <c r="S10">
        <v>5.0855955001222788E-25</v>
      </c>
    </row>
    <row r="11" spans="1:19">
      <c r="A11">
        <v>2.4919174334742599E-22</v>
      </c>
      <c r="B11">
        <v>4.045215987081146E-23</v>
      </c>
      <c r="C11">
        <v>6.512837179070523E-24</v>
      </c>
      <c r="D11">
        <v>2.4227740763173834E-24</v>
      </c>
      <c r="E11">
        <v>2.5887049083382614E-24</v>
      </c>
      <c r="F11">
        <v>2.0802919708029198E-24</v>
      </c>
      <c r="G11">
        <v>2.5308831036242979E-24</v>
      </c>
      <c r="H11">
        <v>2.5344563552833077E-24</v>
      </c>
      <c r="I11">
        <v>2.5232006599298822E-24</v>
      </c>
      <c r="J11">
        <v>2.5354449472096527E-24</v>
      </c>
      <c r="K11">
        <v>2.2859598853868194E-24</v>
      </c>
      <c r="L11">
        <v>1.8009029345372461E-24</v>
      </c>
      <c r="M11">
        <v>1.4516011644832604E-24</v>
      </c>
      <c r="N11">
        <v>1.1854383358098067E-24</v>
      </c>
      <c r="O11">
        <v>9.7673849167482871E-25</v>
      </c>
      <c r="P11">
        <v>8.145803553195834E-25</v>
      </c>
      <c r="Q11">
        <v>6.8610251117991051E-25</v>
      </c>
      <c r="R11">
        <v>5.7702878634456818E-25</v>
      </c>
      <c r="S11">
        <v>4.8777207141110293E-25</v>
      </c>
    </row>
    <row r="12" spans="1:19">
      <c r="A12">
        <v>2.3588659537428499E-22</v>
      </c>
      <c r="B12">
        <v>1.7624142107387968E-3</v>
      </c>
      <c r="C12">
        <v>6.1650958726031856E-24</v>
      </c>
      <c r="D12">
        <v>2.2937613567534828E-24</v>
      </c>
      <c r="E12">
        <v>2.4512123004139559E-24</v>
      </c>
      <c r="F12">
        <v>1.9697601668404589E-24</v>
      </c>
      <c r="G12">
        <v>2.3961204696273609E-24</v>
      </c>
      <c r="H12">
        <v>2.3996937212863706E-24</v>
      </c>
      <c r="I12">
        <v>2.3891524025572281E-24</v>
      </c>
      <c r="J12">
        <v>2.4004524886877828E-24</v>
      </c>
      <c r="K12">
        <v>2.1644699140401145E-24</v>
      </c>
      <c r="L12">
        <v>1.705191873589165E-24</v>
      </c>
      <c r="M12">
        <v>1.3744541484716155E-24</v>
      </c>
      <c r="N12">
        <v>1.1224368499257057E-24</v>
      </c>
      <c r="O12">
        <v>9.2482859941234094E-25</v>
      </c>
      <c r="P12">
        <v>7.7128854400653451E-25</v>
      </c>
      <c r="Q12">
        <v>6.4963880288957688E-25</v>
      </c>
      <c r="R12">
        <v>5.4636192680457105E-25</v>
      </c>
      <c r="S12">
        <v>4.6184886280264114E-25</v>
      </c>
    </row>
    <row r="13" spans="1:19">
      <c r="A13">
        <v>2.2817707038050234E-22</v>
      </c>
      <c r="B13">
        <v>1.005853855470327E-2</v>
      </c>
      <c r="C13">
        <v>5.9636009099772505E-24</v>
      </c>
      <c r="D13">
        <v>2.2180496668685643E-24</v>
      </c>
      <c r="E13">
        <v>2.3698994677705498E-24</v>
      </c>
      <c r="F13">
        <v>1.9045881126173099E-24</v>
      </c>
      <c r="G13">
        <v>2.3167432363450738E-24</v>
      </c>
      <c r="H13">
        <v>2.3200612557427255E-24</v>
      </c>
      <c r="I13">
        <v>2.3097545885749639E-24</v>
      </c>
      <c r="J13">
        <v>2.3205128205128204E-24</v>
      </c>
      <c r="K13">
        <v>2.0928366762177649E-24</v>
      </c>
      <c r="L13">
        <v>1.6487584650112867E-24</v>
      </c>
      <c r="M13">
        <v>1.328966521106259E-24</v>
      </c>
      <c r="N13">
        <v>1.0852897473997027E-24</v>
      </c>
      <c r="O13">
        <v>8.9422135161606284E-25</v>
      </c>
      <c r="P13">
        <v>7.4576271186440672E-25</v>
      </c>
      <c r="Q13">
        <v>6.2813897488820092E-25</v>
      </c>
      <c r="R13">
        <v>5.2828005207579923E-25</v>
      </c>
      <c r="S13">
        <v>4.4656395206651992E-25</v>
      </c>
    </row>
    <row r="14" spans="1:19">
      <c r="A14">
        <v>2.1922407361352899E-22</v>
      </c>
      <c r="B14">
        <v>1.1772305207912798E-2</v>
      </c>
      <c r="C14">
        <v>5.7296067598310046E-24</v>
      </c>
      <c r="D14">
        <v>2.1308298001211386E-24</v>
      </c>
      <c r="E14">
        <v>2.2767593140153754E-24</v>
      </c>
      <c r="F14">
        <v>1.8300312825860272E-24</v>
      </c>
      <c r="G14">
        <v>2.2261357835630423E-24</v>
      </c>
      <c r="H14">
        <v>2.229709035222052E-24</v>
      </c>
      <c r="I14">
        <v>2.2200453701794184E-24</v>
      </c>
      <c r="J14">
        <v>2.2300150829562594E-24</v>
      </c>
      <c r="K14">
        <v>2.010888252148997E-24</v>
      </c>
      <c r="L14">
        <v>1.5841986455981941E-24</v>
      </c>
      <c r="M14">
        <v>1.276928675400291E-24</v>
      </c>
      <c r="N14">
        <v>1.0427934621099553E-24</v>
      </c>
      <c r="O14">
        <v>8.5920666013712044E-25</v>
      </c>
      <c r="P14">
        <v>7.1656115989381251E-25</v>
      </c>
      <c r="Q14">
        <v>6.0354317165462669E-25</v>
      </c>
      <c r="R14">
        <v>5.0759438738608416E-25</v>
      </c>
      <c r="S14">
        <v>4.2907801418439711E-25</v>
      </c>
    </row>
    <row r="15" spans="1:19">
      <c r="A15">
        <v>2.0790848047749313E-22</v>
      </c>
      <c r="B15">
        <v>1.5492531287848204E-2</v>
      </c>
      <c r="C15">
        <v>5.4338641533961651E-24</v>
      </c>
      <c r="D15">
        <v>2.0218049666868564E-24</v>
      </c>
      <c r="E15">
        <v>2.1599645180366644E-24</v>
      </c>
      <c r="F15">
        <v>1.7361835245046923E-24</v>
      </c>
      <c r="G15">
        <v>2.1120469627360898E-24</v>
      </c>
      <c r="H15">
        <v>2.1148545176110257E-24</v>
      </c>
      <c r="I15">
        <v>2.1055887811919985E-24</v>
      </c>
      <c r="J15">
        <v>2.1153846153846151E-24</v>
      </c>
      <c r="K15">
        <v>1.9077363896848138E-24</v>
      </c>
      <c r="L15">
        <v>1.5029345372460498E-24</v>
      </c>
      <c r="M15">
        <v>1.2114264919941776E-24</v>
      </c>
      <c r="N15">
        <v>9.8930163447251116E-25</v>
      </c>
      <c r="O15">
        <v>8.1513222331048006E-25</v>
      </c>
      <c r="P15">
        <v>6.7980396160914853E-25</v>
      </c>
      <c r="Q15">
        <v>5.725834193326454E-25</v>
      </c>
      <c r="R15">
        <v>4.8155648777665268E-25</v>
      </c>
      <c r="S15">
        <v>4.0706774272438249E-25</v>
      </c>
    </row>
    <row r="16" spans="1:19">
      <c r="A16">
        <v>1.9920417806515793E-22</v>
      </c>
      <c r="B16">
        <v>2.5050464271295921E-2</v>
      </c>
      <c r="C16">
        <v>5.2063698407539814E-24</v>
      </c>
      <c r="D16">
        <v>1.9370078740157478E-24</v>
      </c>
      <c r="E16">
        <v>2.0697811945594321E-24</v>
      </c>
      <c r="F16">
        <v>1.6631908237747654E-24</v>
      </c>
      <c r="G16">
        <v>2.0232261357835631E-24</v>
      </c>
      <c r="H16">
        <v>2.026033690658499E-24</v>
      </c>
      <c r="I16">
        <v>2.016910703237781E-24</v>
      </c>
      <c r="J16">
        <v>2.026395173453997E-24</v>
      </c>
      <c r="K16">
        <v>1.8275071633237821E-24</v>
      </c>
      <c r="L16">
        <v>1.4397291196388263E-24</v>
      </c>
      <c r="M16">
        <v>1.1604803493449781E-24</v>
      </c>
      <c r="N16">
        <v>9.4769687964338781E-25</v>
      </c>
      <c r="O16">
        <v>7.8085210577864843E-25</v>
      </c>
      <c r="P16">
        <v>6.5121502960996525E-25</v>
      </c>
      <c r="Q16">
        <v>5.4850361197110423E-25</v>
      </c>
      <c r="R16">
        <v>4.6130478808042812E-25</v>
      </c>
      <c r="S16">
        <v>3.8994864269992661E-25</v>
      </c>
    </row>
    <row r="17" spans="1:19">
      <c r="A17">
        <v>1.8987813976622729E-22</v>
      </c>
      <c r="B17">
        <v>2.68873637464675E-2</v>
      </c>
      <c r="C17">
        <v>4.9626259343516412E-24</v>
      </c>
      <c r="D17">
        <v>1.8461538461538462E-24</v>
      </c>
      <c r="E17">
        <v>1.9722057953873444E-24</v>
      </c>
      <c r="F17">
        <v>1.5849843587069865E-24</v>
      </c>
      <c r="G17">
        <v>1.928534966819806E-24</v>
      </c>
      <c r="H17">
        <v>1.9310872894333843E-24</v>
      </c>
      <c r="I17">
        <v>1.923076923076923E-24</v>
      </c>
      <c r="J17">
        <v>1.9321266968325791E-24</v>
      </c>
      <c r="K17">
        <v>1.7421203438395412E-24</v>
      </c>
      <c r="L17">
        <v>1.3724604966139956E-24</v>
      </c>
      <c r="M17">
        <v>1.106259097525473E-24</v>
      </c>
      <c r="N17">
        <v>9.0341753343239209E-25</v>
      </c>
      <c r="O17">
        <v>7.4436826640548483E-25</v>
      </c>
      <c r="P17">
        <v>6.207882376965488E-25</v>
      </c>
      <c r="Q17">
        <v>5.2287581699346405E-25</v>
      </c>
      <c r="R17">
        <v>4.3975119340373202E-25</v>
      </c>
      <c r="S17">
        <v>3.7172902910246999E-25</v>
      </c>
    </row>
    <row r="18" spans="1:19">
      <c r="A18">
        <v>8.2852524247699569E-3</v>
      </c>
      <c r="B18">
        <v>1.7640290674202665E-2</v>
      </c>
      <c r="C18">
        <v>4.7351316217094575E-24</v>
      </c>
      <c r="D18">
        <v>1.7613567534827376E-24</v>
      </c>
      <c r="E18">
        <v>1.8820224719101125E-24</v>
      </c>
      <c r="F18">
        <v>1.5125130344108446E-24</v>
      </c>
      <c r="G18">
        <v>1.839969372128637E-24</v>
      </c>
      <c r="H18">
        <v>1.8437978560490048E-24</v>
      </c>
      <c r="I18">
        <v>1.8343988451227055E-24</v>
      </c>
      <c r="J18">
        <v>1.8431372549019606E-24</v>
      </c>
      <c r="K18">
        <v>1.6618911174785099E-24</v>
      </c>
      <c r="L18">
        <v>1.3092550790067721E-24</v>
      </c>
      <c r="M18">
        <v>1.0553129548762735E-24</v>
      </c>
      <c r="N18">
        <v>8.6181277860326893E-25</v>
      </c>
      <c r="O18">
        <v>7.100881488736533E-25</v>
      </c>
      <c r="P18">
        <v>5.921993056973657E-25</v>
      </c>
      <c r="Q18">
        <v>4.9879600963192288E-25</v>
      </c>
      <c r="R18">
        <v>4.1949949370750755E-25</v>
      </c>
      <c r="S18">
        <v>3.5460992907801412E-25</v>
      </c>
    </row>
    <row r="19" spans="1:19">
      <c r="A19">
        <v>3.2019398159661774E-2</v>
      </c>
      <c r="B19">
        <v>1.2585789261203068E-2</v>
      </c>
      <c r="C19">
        <v>4.5563860903477417E-24</v>
      </c>
      <c r="D19">
        <v>1.695336159903089E-24</v>
      </c>
      <c r="E19">
        <v>1.8110585452395031E-24</v>
      </c>
      <c r="F19">
        <v>1.4556830031282585E-24</v>
      </c>
      <c r="G19">
        <v>1.7710566615620215E-24</v>
      </c>
      <c r="H19">
        <v>1.7733537519142421E-24</v>
      </c>
      <c r="I19">
        <v>1.7663435759950506E-24</v>
      </c>
      <c r="J19">
        <v>1.7737556561085972E-24</v>
      </c>
      <c r="K19">
        <v>1.6000000000000001E-24</v>
      </c>
      <c r="L19">
        <v>1.2604966139954854E-24</v>
      </c>
      <c r="M19">
        <v>1.0160116448326055E-24</v>
      </c>
      <c r="N19">
        <v>8.2971768202080246E-25</v>
      </c>
      <c r="O19">
        <v>6.8364348677766908E-25</v>
      </c>
      <c r="P19">
        <v>5.7014498672656733E-25</v>
      </c>
      <c r="Q19">
        <v>4.8022015823873415E-25</v>
      </c>
      <c r="R19">
        <v>4.0387675394184869E-25</v>
      </c>
      <c r="S19">
        <v>3.4140376620200536E-25</v>
      </c>
    </row>
    <row r="20" spans="1:19">
      <c r="A20">
        <v>1.6115394180552099E-2</v>
      </c>
      <c r="B20">
        <v>1.2557529269277352E-2</v>
      </c>
      <c r="C20">
        <v>4.3873903152421187E-24</v>
      </c>
      <c r="D20">
        <v>1.632344033918837E-24</v>
      </c>
      <c r="E20">
        <v>1.7445298639858074E-24</v>
      </c>
      <c r="F20">
        <v>1.4014598540145986E-24</v>
      </c>
      <c r="G20">
        <v>1.7052067381316999E-24</v>
      </c>
      <c r="H20">
        <v>1.7075038284839202E-24</v>
      </c>
      <c r="I20">
        <v>1.7003505877500514E-24</v>
      </c>
      <c r="J20">
        <v>1.7081447963800904E-24</v>
      </c>
      <c r="K20">
        <v>1.5404011461318051E-24</v>
      </c>
      <c r="L20">
        <v>1.2135440180586909E-24</v>
      </c>
      <c r="M20">
        <v>9.7816593886462879E-25</v>
      </c>
      <c r="N20">
        <v>7.9881129271916787E-25</v>
      </c>
      <c r="O20">
        <v>6.5817825661116562E-25</v>
      </c>
      <c r="P20">
        <v>5.489074943843169E-25</v>
      </c>
      <c r="Q20">
        <v>4.6233230134158925E-25</v>
      </c>
      <c r="R20">
        <v>3.8883263416751051E-25</v>
      </c>
      <c r="S20">
        <v>3.2868672046955242E-25</v>
      </c>
    </row>
    <row r="21" spans="1:19">
      <c r="A21">
        <v>7.9694105943795071E-3</v>
      </c>
      <c r="B21">
        <v>1.1400888171174808E-2</v>
      </c>
      <c r="C21">
        <v>4.2086447838804036E-24</v>
      </c>
      <c r="D21">
        <v>1.5651120533010297E-24</v>
      </c>
      <c r="E21">
        <v>1.6720875221762271E-24</v>
      </c>
      <c r="F21">
        <v>1.3441084462982274E-24</v>
      </c>
      <c r="G21">
        <v>1.635273098519653E-24</v>
      </c>
      <c r="H21">
        <v>1.6370597243491575E-24</v>
      </c>
      <c r="I21">
        <v>1.6302330377397401E-24</v>
      </c>
      <c r="J21">
        <v>1.6380090497737557E-24</v>
      </c>
      <c r="K21">
        <v>1.4767908309455586E-24</v>
      </c>
      <c r="L21">
        <v>1.163431151241535E-24</v>
      </c>
      <c r="M21">
        <v>9.3777292576419194E-25</v>
      </c>
      <c r="N21">
        <v>7.6582466567607722E-25</v>
      </c>
      <c r="O21">
        <v>6.3099902056807052E-25</v>
      </c>
      <c r="P21">
        <v>5.2624055544210732E-25</v>
      </c>
      <c r="Q21">
        <v>4.4324045407636736E-25</v>
      </c>
      <c r="R21">
        <v>3.7277592940836104E-25</v>
      </c>
      <c r="S21">
        <v>3.1511371973587669E-25</v>
      </c>
    </row>
    <row r="22" spans="1:19">
      <c r="A22">
        <v>2.3899527480726185E-2</v>
      </c>
      <c r="B22">
        <v>4.4105773112636248E-3</v>
      </c>
      <c r="C22">
        <v>4.0461488462788435E-24</v>
      </c>
      <c r="D22">
        <v>1.5051483949121744E-24</v>
      </c>
      <c r="E22">
        <v>1.6085156712004727E-24</v>
      </c>
      <c r="F22">
        <v>1.2924921793534931E-24</v>
      </c>
      <c r="G22">
        <v>1.5724859622256254E-24</v>
      </c>
      <c r="H22">
        <v>1.5758039816232771E-24</v>
      </c>
      <c r="I22">
        <v>1.5683646112600536E-24</v>
      </c>
      <c r="J22">
        <v>1.5754147812971342E-24</v>
      </c>
      <c r="K22">
        <v>1.4206303724928367E-24</v>
      </c>
      <c r="L22">
        <v>1.1191873589164787E-24</v>
      </c>
      <c r="M22">
        <v>9.0211062590975255E-25</v>
      </c>
      <c r="N22">
        <v>7.3670133729569091E-25</v>
      </c>
      <c r="O22">
        <v>6.0700293829578853E-25</v>
      </c>
      <c r="P22">
        <v>5.0622830304267922E-25</v>
      </c>
      <c r="Q22">
        <v>4.2638458892328868E-25</v>
      </c>
      <c r="R22">
        <v>3.5859973962100393E-25</v>
      </c>
      <c r="S22">
        <v>3.0313034971875761E-25</v>
      </c>
    </row>
    <row r="23" spans="1:19">
      <c r="A23">
        <v>4.9179308629694104E-3</v>
      </c>
      <c r="B23">
        <v>2.0054501412999598E-3</v>
      </c>
      <c r="C23">
        <v>3.948651283717907E-24</v>
      </c>
      <c r="D23">
        <v>1.4688067837674136E-24</v>
      </c>
      <c r="E23">
        <v>1.5685984624482553E-24</v>
      </c>
      <c r="F23">
        <v>1.2612095933263816E-24</v>
      </c>
      <c r="G23">
        <v>1.5342011230219502E-24</v>
      </c>
      <c r="H23">
        <v>1.5359877488514546E-24</v>
      </c>
      <c r="I23">
        <v>1.5302124149309137E-24</v>
      </c>
      <c r="J23">
        <v>1.5369532428355958E-24</v>
      </c>
      <c r="K23">
        <v>1.3856733524355301E-24</v>
      </c>
      <c r="L23">
        <v>1.0916478555304742E-24</v>
      </c>
      <c r="M23">
        <v>8.7991266375545841E-25</v>
      </c>
      <c r="N23">
        <v>7.1857355126300152E-25</v>
      </c>
      <c r="O23">
        <v>5.9206660137120478E-25</v>
      </c>
      <c r="P23">
        <v>4.9377169695732079E-25</v>
      </c>
      <c r="Q23">
        <v>4.1589267285861713E-25</v>
      </c>
      <c r="R23">
        <v>3.4977578475336323E-25</v>
      </c>
      <c r="S23">
        <v>2.9567131327953044E-25</v>
      </c>
    </row>
    <row r="24" spans="1:19">
      <c r="A24">
        <v>4.643123601094255E-3</v>
      </c>
      <c r="B24">
        <v>2.7311263625353251E-3</v>
      </c>
      <c r="C24">
        <v>1.2596685082872927E-3</v>
      </c>
      <c r="D24">
        <v>1.4124772864930346E-24</v>
      </c>
      <c r="E24">
        <v>1.5094618568894144E-24</v>
      </c>
      <c r="F24">
        <v>1.2127215849843586E-24</v>
      </c>
      <c r="G24">
        <v>1.4754977029096478E-24</v>
      </c>
      <c r="H24">
        <v>1.4779479326186828E-24</v>
      </c>
      <c r="I24">
        <v>1.4714374097752113E-24</v>
      </c>
      <c r="J24">
        <v>1.478129713423831E-24</v>
      </c>
      <c r="K24">
        <v>1.3329512893982808E-24</v>
      </c>
      <c r="L24">
        <v>1.0501128668171558E-24</v>
      </c>
      <c r="M24">
        <v>8.4643377001455597E-25</v>
      </c>
      <c r="N24">
        <v>6.9123328380386322E-25</v>
      </c>
      <c r="O24">
        <v>5.6953966699314407E-25</v>
      </c>
      <c r="P24">
        <v>4.7498468450071474E-25</v>
      </c>
      <c r="Q24">
        <v>4.0006879944960439E-25</v>
      </c>
      <c r="R24">
        <v>3.364675249529871E-25</v>
      </c>
      <c r="S24">
        <v>2.8442161897774513E-25</v>
      </c>
    </row>
    <row r="25" spans="1:19">
      <c r="A25">
        <v>7.0330763491668724E-2</v>
      </c>
      <c r="B25">
        <v>8.7666532095276532E-3</v>
      </c>
      <c r="C25">
        <v>1.1108222294442639E-4</v>
      </c>
      <c r="D25">
        <v>1.3737129012719565E-24</v>
      </c>
      <c r="E25">
        <v>1.4676227084565346E-24</v>
      </c>
      <c r="F25">
        <v>1.1793534932221064E-24</v>
      </c>
      <c r="G25">
        <v>1.4349157733537519E-24</v>
      </c>
      <c r="H25">
        <v>1.4372128637059724E-24</v>
      </c>
      <c r="I25">
        <v>1.431222932563415E-24</v>
      </c>
      <c r="J25">
        <v>1.4374057315233785E-24</v>
      </c>
      <c r="K25">
        <v>1.2962750716332377E-24</v>
      </c>
      <c r="L25">
        <v>1.0212189616252822E-24</v>
      </c>
      <c r="M25">
        <v>8.2314410480349335E-25</v>
      </c>
      <c r="N25">
        <v>6.7221396731054964E-25</v>
      </c>
      <c r="O25">
        <v>5.5386875612144954E-25</v>
      </c>
      <c r="P25">
        <v>4.619154584439452E-25</v>
      </c>
      <c r="Q25">
        <v>3.8906088751289988E-25</v>
      </c>
      <c r="R25">
        <v>3.2720960509185589E-25</v>
      </c>
      <c r="S25">
        <v>2.7659574468085103E-25</v>
      </c>
    </row>
    <row r="26" spans="1:19">
      <c r="A26">
        <v>2.3501616513305144E-2</v>
      </c>
      <c r="B26">
        <v>4.7719014937424309E-3</v>
      </c>
      <c r="C26">
        <v>5.2876178095547617E-4</v>
      </c>
      <c r="D26">
        <v>1.3422168382798303E-24</v>
      </c>
      <c r="E26">
        <v>1.4340626848018923E-24</v>
      </c>
      <c r="F26">
        <v>1.1527632950990616E-24</v>
      </c>
      <c r="G26">
        <v>1.4019908116385913E-24</v>
      </c>
      <c r="H26">
        <v>1.4042879019908115E-24</v>
      </c>
      <c r="I26">
        <v>1.3982264384409156E-24</v>
      </c>
      <c r="J26">
        <v>1.4042232277526394E-24</v>
      </c>
      <c r="K26">
        <v>1.2664756446991403E-24</v>
      </c>
      <c r="L26">
        <v>9.9774266365688497E-25</v>
      </c>
      <c r="M26">
        <v>8.04221251819505E-25</v>
      </c>
      <c r="N26">
        <v>6.5676077265973253E-25</v>
      </c>
      <c r="O26">
        <v>5.4113614103819786E-25</v>
      </c>
      <c r="P26">
        <v>4.5129671227282003E-25</v>
      </c>
      <c r="Q26">
        <v>3.8011695906432748E-25</v>
      </c>
      <c r="R26">
        <v>3.1968754520468682E-25</v>
      </c>
      <c r="S26">
        <v>2.7023722181462456E-25</v>
      </c>
    </row>
    <row r="27" spans="1:19">
      <c r="A27">
        <v>3.0626709773688133E-2</v>
      </c>
      <c r="B27">
        <v>1.7686717803794912E-3</v>
      </c>
      <c r="C27">
        <v>1.5732856678583035E-4</v>
      </c>
      <c r="D27">
        <v>1.3076923076923077E-24</v>
      </c>
      <c r="E27">
        <v>1.3971023063276167E-24</v>
      </c>
      <c r="F27">
        <v>1.1225234619395203E-24</v>
      </c>
      <c r="G27">
        <v>1.3657478305257785E-24</v>
      </c>
      <c r="H27">
        <v>1.3679938744257273E-24</v>
      </c>
      <c r="I27">
        <v>1.3621365229944318E-24</v>
      </c>
      <c r="J27">
        <v>1.3680241327300149E-24</v>
      </c>
      <c r="K27">
        <v>1.2338108882521489E-24</v>
      </c>
      <c r="L27">
        <v>9.7200902934537257E-25</v>
      </c>
      <c r="M27">
        <v>7.8347889374090243E-25</v>
      </c>
      <c r="N27">
        <v>6.3982169390787511E-25</v>
      </c>
      <c r="O27">
        <v>5.2717923604309506E-25</v>
      </c>
      <c r="P27">
        <v>4.3965693281600982E-25</v>
      </c>
      <c r="Q27">
        <v>3.703130374957E-25</v>
      </c>
      <c r="R27">
        <v>3.1144221032836681E-25</v>
      </c>
      <c r="S27">
        <v>2.6326730251895325E-25</v>
      </c>
    </row>
    <row r="28" spans="1:19">
      <c r="A28">
        <v>3.3611042029345936E-2</v>
      </c>
      <c r="B28">
        <v>6.5482438433589023E-3</v>
      </c>
      <c r="C28">
        <v>1.3695157621059474E-4</v>
      </c>
      <c r="D28">
        <v>1.2889158086008479E-24</v>
      </c>
      <c r="E28">
        <v>1.3769958604376108E-24</v>
      </c>
      <c r="F28">
        <v>1.1068821689259645E-24</v>
      </c>
      <c r="G28">
        <v>1.346350178662583E-24</v>
      </c>
      <c r="H28">
        <v>1.3485451761102603E-24</v>
      </c>
      <c r="I28">
        <v>1.3425448546091977E-24</v>
      </c>
      <c r="J28">
        <v>1.3484162895927603E-24</v>
      </c>
      <c r="K28">
        <v>1.2160458452722062E-24</v>
      </c>
      <c r="L28">
        <v>9.5801354401805872E-25</v>
      </c>
      <c r="M28">
        <v>7.7219796215429395E-25</v>
      </c>
      <c r="N28">
        <v>6.3060921248142639E-25</v>
      </c>
      <c r="O28">
        <v>5.1958863858961801E-25</v>
      </c>
      <c r="P28">
        <v>4.3332652644476201E-25</v>
      </c>
      <c r="Q28">
        <v>3.6498108015135875E-25</v>
      </c>
      <c r="R28">
        <v>3.0695790539563138E-25</v>
      </c>
      <c r="S28">
        <v>2.5947664465639515E-25</v>
      </c>
    </row>
    <row r="29" spans="1:19">
      <c r="A29">
        <v>2.9743844814722704E-2</v>
      </c>
      <c r="B29">
        <v>3.0419862737182074E-3</v>
      </c>
      <c r="C29">
        <v>9.2460188495287622E-5</v>
      </c>
      <c r="D29">
        <v>1.2768019382192611E-24</v>
      </c>
      <c r="E29">
        <v>1.3641336487285629E-24</v>
      </c>
      <c r="F29">
        <v>1.0964546402502608E-24</v>
      </c>
      <c r="G29">
        <v>1.3335885655946913E-24</v>
      </c>
      <c r="H29">
        <v>1.3358346094946402E-24</v>
      </c>
      <c r="I29">
        <v>1.3301711693132605E-24</v>
      </c>
      <c r="J29">
        <v>1.3355957767722473E-24</v>
      </c>
      <c r="K29">
        <v>1.2045845272206302E-24</v>
      </c>
      <c r="L29">
        <v>9.4898419864559816E-25</v>
      </c>
      <c r="M29">
        <v>7.649199417758369E-25</v>
      </c>
      <c r="N29">
        <v>6.2466567607726588E-25</v>
      </c>
      <c r="O29">
        <v>5.1469147894221354E-25</v>
      </c>
      <c r="P29">
        <v>4.2924239330202157E-25</v>
      </c>
      <c r="Q29">
        <v>3.615411076711386E-25</v>
      </c>
      <c r="R29">
        <v>3.0406480543902792E-25</v>
      </c>
      <c r="S29">
        <v>2.5703105893861575E-25</v>
      </c>
    </row>
    <row r="30" spans="1:19">
      <c r="A30">
        <v>7.0579457846306884E-2</v>
      </c>
      <c r="B30">
        <v>1.6043601130399678E-3</v>
      </c>
      <c r="C30">
        <v>3.4124146896327595E-24</v>
      </c>
      <c r="D30">
        <v>1.2695336159903088E-24</v>
      </c>
      <c r="E30">
        <v>1.3564458900059137E-24</v>
      </c>
      <c r="F30">
        <v>1.0901981230448384E-24</v>
      </c>
      <c r="G30">
        <v>1.326186830015314E-24</v>
      </c>
      <c r="H30">
        <v>1.3283307810107196E-24</v>
      </c>
      <c r="I30">
        <v>1.3229531862239637E-24</v>
      </c>
      <c r="J30">
        <v>1.3288084464555054E-24</v>
      </c>
      <c r="K30">
        <v>1.1977077363896846E-24</v>
      </c>
      <c r="L30">
        <v>9.4356659142212201E-25</v>
      </c>
      <c r="M30">
        <v>7.6055312954876264E-25</v>
      </c>
      <c r="N30">
        <v>6.210995542347696E-25</v>
      </c>
      <c r="O30">
        <v>5.1175318315377088E-25</v>
      </c>
      <c r="P30">
        <v>4.2679191341637737E-25</v>
      </c>
      <c r="Q30">
        <v>3.5947712418300654E-25</v>
      </c>
      <c r="R30">
        <v>3.0232894546506582E-25</v>
      </c>
      <c r="S30">
        <v>2.5556370750794813E-25</v>
      </c>
    </row>
    <row r="31" spans="1:19">
      <c r="A31">
        <v>5.4513802536682414E-2</v>
      </c>
      <c r="B31">
        <v>1.1384739604360114E-2</v>
      </c>
      <c r="C31">
        <v>3.3961650958726037E-24</v>
      </c>
      <c r="D31">
        <v>1.2634766807995153E-24</v>
      </c>
      <c r="E31">
        <v>1.3500887049083382E-24</v>
      </c>
      <c r="F31">
        <v>1.0849843587069864E-24</v>
      </c>
      <c r="G31">
        <v>1.3198060234813681E-24</v>
      </c>
      <c r="H31">
        <v>1.322052067381317E-24</v>
      </c>
      <c r="I31">
        <v>1.315735203134667E-24</v>
      </c>
      <c r="J31">
        <v>1.3220211161387631E-24</v>
      </c>
      <c r="K31">
        <v>1.1925501432664757E-24</v>
      </c>
      <c r="L31">
        <v>9.3950338600451476E-25</v>
      </c>
      <c r="M31">
        <v>7.5727802037845703E-25</v>
      </c>
      <c r="N31">
        <v>6.184249628528975E-25</v>
      </c>
      <c r="O31">
        <v>5.0954946131243891E-25</v>
      </c>
      <c r="P31">
        <v>4.2495405350214421E-25</v>
      </c>
      <c r="Q31">
        <v>3.579291365669075E-25</v>
      </c>
      <c r="R31">
        <v>3.0102705048459424E-25</v>
      </c>
      <c r="S31">
        <v>2.5446319393494743E-25</v>
      </c>
    </row>
    <row r="32" spans="1:19">
      <c r="A32">
        <v>9.562297935836855E-3</v>
      </c>
      <c r="B32">
        <v>2.5171578522406135E-4</v>
      </c>
      <c r="C32">
        <v>3.3961650958726037E-24</v>
      </c>
      <c r="D32">
        <v>1.2640823743185947E-24</v>
      </c>
      <c r="E32">
        <v>1.3502365464222352E-24</v>
      </c>
      <c r="F32">
        <v>1.0849843587069864E-24</v>
      </c>
      <c r="G32">
        <v>1.320061255742726E-24</v>
      </c>
      <c r="H32">
        <v>1.3222052067381316E-24</v>
      </c>
      <c r="I32">
        <v>1.3167663435759952E-24</v>
      </c>
      <c r="J32">
        <v>1.3227752639517346E-24</v>
      </c>
      <c r="K32">
        <v>1.1925501432664757E-24</v>
      </c>
      <c r="L32">
        <v>9.3950338600451476E-25</v>
      </c>
      <c r="M32">
        <v>7.5727802037845703E-25</v>
      </c>
      <c r="N32">
        <v>6.184249628528975E-25</v>
      </c>
      <c r="O32">
        <v>5.0954946131243891E-25</v>
      </c>
      <c r="P32">
        <v>4.2495405350214421E-25</v>
      </c>
      <c r="Q32">
        <v>3.579291365669075E-25</v>
      </c>
      <c r="R32">
        <v>3.0102705048459424E-25</v>
      </c>
      <c r="S32">
        <v>2.5446319393494743E-25</v>
      </c>
    </row>
    <row r="33" spans="1:19">
      <c r="A33">
        <v>2.6224819696592885E-3</v>
      </c>
      <c r="B33">
        <v>3.1247476786435205E-3</v>
      </c>
      <c r="C33">
        <v>3.409164770880728E-24</v>
      </c>
      <c r="D33">
        <v>1.2689279224712297E-24</v>
      </c>
      <c r="E33">
        <v>1.3554109994086338E-24</v>
      </c>
      <c r="F33">
        <v>1.0891553701772681E-24</v>
      </c>
      <c r="G33">
        <v>1.3251659009698827E-24</v>
      </c>
      <c r="H33">
        <v>1.3274119448698314E-24</v>
      </c>
      <c r="I33">
        <v>1.3219220457826356E-24</v>
      </c>
      <c r="J33">
        <v>1.3273001508295626E-24</v>
      </c>
      <c r="K33">
        <v>1.1971346704871061E-24</v>
      </c>
      <c r="L33">
        <v>9.4311512415349898E-25</v>
      </c>
      <c r="M33">
        <v>7.6018922852983991E-25</v>
      </c>
      <c r="N33">
        <v>6.2080237741456163E-25</v>
      </c>
      <c r="O33">
        <v>5.1150832517140071E-25</v>
      </c>
      <c r="P33">
        <v>4.2658770675924037E-25</v>
      </c>
      <c r="Q33">
        <v>3.5930512555899554E-25</v>
      </c>
      <c r="R33">
        <v>3.0218429046723565E-25</v>
      </c>
      <c r="S33">
        <v>2.5544142822205919E-25</v>
      </c>
    </row>
    <row r="34" spans="1:19">
      <c r="A34">
        <v>2.0256155185277291E-2</v>
      </c>
      <c r="B34">
        <v>5.5551069842551476E-3</v>
      </c>
      <c r="C34">
        <v>3.3961650958726037E-24</v>
      </c>
      <c r="D34">
        <v>1.2634766807995153E-24</v>
      </c>
      <c r="E34">
        <v>1.3500887049083382E-24</v>
      </c>
      <c r="F34">
        <v>1.0849843587069864E-24</v>
      </c>
      <c r="G34">
        <v>1.3198060234813681E-24</v>
      </c>
      <c r="H34">
        <v>1.322052067381317E-24</v>
      </c>
      <c r="I34">
        <v>1.315735203134667E-24</v>
      </c>
      <c r="J34">
        <v>1.3220211161387631E-24</v>
      </c>
      <c r="K34">
        <v>1.1919770773638968E-24</v>
      </c>
      <c r="L34">
        <v>9.3905191873589174E-25</v>
      </c>
      <c r="M34">
        <v>7.5691411935953412E-25</v>
      </c>
      <c r="N34">
        <v>6.1812778603268944E-25</v>
      </c>
      <c r="O34">
        <v>5.0930460333006865E-25</v>
      </c>
      <c r="P34">
        <v>4.2474984684500711E-25</v>
      </c>
      <c r="Q34">
        <v>3.5775713794289645E-25</v>
      </c>
      <c r="R34">
        <v>3.0088239548676407E-25</v>
      </c>
      <c r="S34">
        <v>2.543409146490584E-25</v>
      </c>
    </row>
    <row r="35" spans="1:19">
      <c r="A35">
        <v>1.9423029097239492E-2</v>
      </c>
      <c r="B35">
        <v>3.2478805006055712E-3</v>
      </c>
      <c r="C35">
        <v>3.4611634709132273E-24</v>
      </c>
      <c r="D35">
        <v>1.28709872804361E-24</v>
      </c>
      <c r="E35">
        <v>1.3750739207569486E-24</v>
      </c>
      <c r="F35">
        <v>1.1053180396246089E-24</v>
      </c>
      <c r="G35">
        <v>1.3443083205717203E-24</v>
      </c>
      <c r="H35">
        <v>1.3465543644716691E-24</v>
      </c>
      <c r="I35">
        <v>1.3404825737265415E-24</v>
      </c>
      <c r="J35">
        <v>1.3469079939668175E-24</v>
      </c>
      <c r="K35">
        <v>1.2143266475644699E-24</v>
      </c>
      <c r="L35">
        <v>9.5665914221218963E-25</v>
      </c>
      <c r="M35">
        <v>7.7110625909752547E-25</v>
      </c>
      <c r="N35">
        <v>6.2971768202080238E-25</v>
      </c>
      <c r="O35">
        <v>5.1885406464250741E-25</v>
      </c>
      <c r="P35">
        <v>4.3271390647335098E-25</v>
      </c>
      <c r="Q35">
        <v>3.6446508427932578E-25</v>
      </c>
      <c r="R35">
        <v>3.0652394040214091E-25</v>
      </c>
      <c r="S35">
        <v>2.5910980679872827E-25</v>
      </c>
    </row>
    <row r="36" spans="1:19">
      <c r="A36">
        <v>1.3317582690872917E-22</v>
      </c>
      <c r="B36">
        <v>7.3738393217601941E-3</v>
      </c>
      <c r="C36">
        <v>3.4806629834254145E-24</v>
      </c>
      <c r="D36">
        <v>1.2949727437916414E-24</v>
      </c>
      <c r="E36">
        <v>1.3835008870490833E-24</v>
      </c>
      <c r="F36">
        <v>1.1120959332638165E-24</v>
      </c>
      <c r="G36">
        <v>1.3527309851965289E-24</v>
      </c>
      <c r="H36">
        <v>1.3548238897396629E-24</v>
      </c>
      <c r="I36">
        <v>1.3487316972571664E-24</v>
      </c>
      <c r="J36">
        <v>1.355203619909502E-24</v>
      </c>
      <c r="K36">
        <v>1.2217765042979941E-24</v>
      </c>
      <c r="L36">
        <v>9.6252821670428899E-25</v>
      </c>
      <c r="M36">
        <v>7.7583697234352247E-25</v>
      </c>
      <c r="N36">
        <v>6.3358098068350664E-25</v>
      </c>
      <c r="O36">
        <v>5.2203721841332024E-25</v>
      </c>
      <c r="P36">
        <v>4.3536859301613228E-25</v>
      </c>
      <c r="Q36">
        <v>3.6670106639146885E-25</v>
      </c>
      <c r="R36">
        <v>3.0840445537393313E-25</v>
      </c>
      <c r="S36">
        <v>2.6069943751528487E-25</v>
      </c>
    </row>
    <row r="37" spans="1:19">
      <c r="A37">
        <v>1.344192986819199E-22</v>
      </c>
      <c r="B37">
        <v>7.7270892208316502E-3</v>
      </c>
      <c r="C37">
        <v>3.5131621709457267E-24</v>
      </c>
      <c r="D37">
        <v>1.306480920654149E-24</v>
      </c>
      <c r="E37">
        <v>1.396067415730337E-24</v>
      </c>
      <c r="F37">
        <v>1.122002085505735E-24</v>
      </c>
      <c r="G37">
        <v>1.3649821337417049E-24</v>
      </c>
      <c r="H37">
        <v>1.3670750382848391E-24</v>
      </c>
      <c r="I37">
        <v>1.3611053825531037E-24</v>
      </c>
      <c r="J37">
        <v>1.3672699849170436E-24</v>
      </c>
      <c r="K37">
        <v>1.2326647564469914E-24</v>
      </c>
      <c r="L37">
        <v>9.7110609480812652E-25</v>
      </c>
      <c r="M37">
        <v>7.8275109170305669E-25</v>
      </c>
      <c r="N37">
        <v>6.3922734026745908E-25</v>
      </c>
      <c r="O37">
        <v>5.2668952007835463E-25</v>
      </c>
      <c r="P37">
        <v>4.3924851950173571E-25</v>
      </c>
      <c r="Q37">
        <v>3.6996904024767799E-25</v>
      </c>
      <c r="R37">
        <v>3.1115290033270647E-25</v>
      </c>
      <c r="S37">
        <v>2.6302274394717534E-25</v>
      </c>
    </row>
    <row r="38" spans="1:19">
      <c r="A38">
        <v>1.3566277045511066E-22</v>
      </c>
      <c r="B38">
        <v>9.9777957206297931E-4</v>
      </c>
      <c r="C38">
        <v>3.5456613584660381E-24</v>
      </c>
      <c r="D38">
        <v>1.3192004845548154E-24</v>
      </c>
      <c r="E38">
        <v>1.4095209934949732E-24</v>
      </c>
      <c r="F38">
        <v>1.132950990615224E-24</v>
      </c>
      <c r="G38">
        <v>1.3779989790709546E-24</v>
      </c>
      <c r="H38">
        <v>1.3802450229709033E-24</v>
      </c>
      <c r="I38">
        <v>1.3745102082903693E-24</v>
      </c>
      <c r="J38">
        <v>1.3800904977375566E-24</v>
      </c>
      <c r="K38">
        <v>1.2446991404011461E-24</v>
      </c>
      <c r="L38">
        <v>9.805869074492101E-25</v>
      </c>
      <c r="M38">
        <v>7.9039301310043665E-25</v>
      </c>
      <c r="N38">
        <v>6.4546805349182765E-25</v>
      </c>
      <c r="O38">
        <v>5.3183153770812936E-25</v>
      </c>
      <c r="P38">
        <v>4.4353685930161325E-25</v>
      </c>
      <c r="Q38">
        <v>3.7358101135190919E-25</v>
      </c>
      <c r="R38">
        <v>3.141906552871402E-25</v>
      </c>
      <c r="S38">
        <v>2.6559060895084372E-25</v>
      </c>
    </row>
    <row r="39" spans="1:19">
      <c r="A39">
        <v>1.3740363093757772E-22</v>
      </c>
      <c r="B39">
        <v>2.2305207912797738E-23</v>
      </c>
      <c r="C39">
        <v>3.5911602209944753E-24</v>
      </c>
      <c r="D39">
        <v>1.3355542095699576E-24</v>
      </c>
      <c r="E39">
        <v>1.4269662921348314E-24</v>
      </c>
      <c r="F39">
        <v>1.1470281543274245E-24</v>
      </c>
      <c r="G39">
        <v>1.3950995405819297E-24</v>
      </c>
      <c r="H39">
        <v>1.3973966309341501E-24</v>
      </c>
      <c r="I39">
        <v>1.3910084553516189E-24</v>
      </c>
      <c r="J39">
        <v>1.3974358974358975E-24</v>
      </c>
      <c r="K39">
        <v>1.2601719197707734E-24</v>
      </c>
      <c r="L39">
        <v>9.9277652370203166E-25</v>
      </c>
      <c r="M39">
        <v>8.0021834061135356E-25</v>
      </c>
      <c r="N39">
        <v>6.5349182763744422E-25</v>
      </c>
      <c r="O39">
        <v>5.3844270323212537E-25</v>
      </c>
      <c r="P39">
        <v>4.4905043904431275E-25</v>
      </c>
      <c r="Q39">
        <v>3.7822497420020637E-25</v>
      </c>
      <c r="R39">
        <v>3.1809634022855485E-25</v>
      </c>
      <c r="S39">
        <v>1.1172658351675226E-5</v>
      </c>
    </row>
    <row r="40" spans="1:19">
      <c r="A40">
        <v>1.4001492166127828E-22</v>
      </c>
      <c r="B40">
        <v>2.2729107791683488E-23</v>
      </c>
      <c r="C40">
        <v>3.6594085147871303E-24</v>
      </c>
      <c r="D40">
        <v>1.3609933373712901E-24</v>
      </c>
      <c r="E40">
        <v>1.4541691306918982E-24</v>
      </c>
      <c r="F40">
        <v>1.1684045881126173E-24</v>
      </c>
      <c r="G40">
        <v>1.4216436957631444E-24</v>
      </c>
      <c r="H40">
        <v>1.4238897396630933E-24</v>
      </c>
      <c r="I40">
        <v>1.4178181068261497E-24</v>
      </c>
      <c r="J40">
        <v>1.4238310708898945E-24</v>
      </c>
      <c r="K40">
        <v>1.284240687679083E-24</v>
      </c>
      <c r="L40">
        <v>1.0117381489841988E-24</v>
      </c>
      <c r="M40">
        <v>8.1550218340611348E-25</v>
      </c>
      <c r="N40">
        <v>6.6597325408618126E-25</v>
      </c>
      <c r="O40">
        <v>5.4872673849167491E-25</v>
      </c>
      <c r="P40">
        <v>4.5762711864406775E-25</v>
      </c>
      <c r="Q40">
        <v>3.8544891640866873E-25</v>
      </c>
      <c r="R40">
        <v>3.2417185013742226E-25</v>
      </c>
      <c r="S40">
        <v>2.2792858889704082E-4</v>
      </c>
    </row>
    <row r="41" spans="1:19">
      <c r="A41">
        <v>1.4200447649838349E-22</v>
      </c>
      <c r="B41">
        <v>2.3052079127977392E-23</v>
      </c>
      <c r="C41">
        <v>3.7114072148196297E-24</v>
      </c>
      <c r="D41">
        <v>1.3803755299818292E-24</v>
      </c>
      <c r="E41">
        <v>1.4745712596096983E-24</v>
      </c>
      <c r="F41">
        <v>1.1850886339937434E-24</v>
      </c>
      <c r="G41">
        <v>1.4418070444104134E-24</v>
      </c>
      <c r="H41">
        <v>1.444104134762634E-24</v>
      </c>
      <c r="I41">
        <v>1.4374097752113837E-24</v>
      </c>
      <c r="J41">
        <v>1.4441930618401204E-24</v>
      </c>
      <c r="K41">
        <v>1.3020057306590258E-24</v>
      </c>
      <c r="L41">
        <v>1.0257336343115125E-24</v>
      </c>
      <c r="M41">
        <v>8.2678311499272197E-25</v>
      </c>
      <c r="N41">
        <v>6.7518573551262999E-25</v>
      </c>
      <c r="O41">
        <v>5.5631733594515187E-25</v>
      </c>
      <c r="P41">
        <v>4.6395752501531556E-25</v>
      </c>
      <c r="Q41">
        <v>3.9078087375301002E-25</v>
      </c>
      <c r="R41">
        <v>7.6840734847388969E-5</v>
      </c>
      <c r="S41">
        <v>7.6485693323550988E-4</v>
      </c>
    </row>
    <row r="42" spans="1:19">
      <c r="A42">
        <v>1.4324794827157422E-22</v>
      </c>
      <c r="B42">
        <v>2.325393621316108E-23</v>
      </c>
      <c r="C42">
        <v>1.3184920376990575E-4</v>
      </c>
      <c r="D42">
        <v>1.392489400363416E-24</v>
      </c>
      <c r="E42">
        <v>1.487285629804849E-24</v>
      </c>
      <c r="F42">
        <v>1.1955161626694474E-24</v>
      </c>
      <c r="G42">
        <v>1.4543134252169477E-24</v>
      </c>
      <c r="H42">
        <v>1.456814701378254E-24</v>
      </c>
      <c r="I42">
        <v>1.4497834605073212E-24</v>
      </c>
      <c r="J42">
        <v>1.4570135746606334E-24</v>
      </c>
      <c r="K42">
        <v>1.3134670487106017E-24</v>
      </c>
      <c r="L42">
        <v>1.0347629796839731E-24</v>
      </c>
      <c r="M42">
        <v>8.3406113537117901E-25</v>
      </c>
      <c r="N42">
        <v>6.8112927191679049E-25</v>
      </c>
      <c r="O42">
        <v>5.6121449559255642E-25</v>
      </c>
      <c r="P42">
        <v>4.68041658158056E-25</v>
      </c>
      <c r="Q42">
        <v>3.9422084623323017E-25</v>
      </c>
      <c r="R42">
        <v>4.4307825835382614E-4</v>
      </c>
      <c r="S42">
        <v>1.4013206162876008E-3</v>
      </c>
    </row>
    <row r="43" spans="1:19">
      <c r="A43">
        <v>1.4511315593136035E-22</v>
      </c>
      <c r="B43">
        <v>2.3556721840936617E-23</v>
      </c>
      <c r="C43">
        <v>7.3513162170945733E-4</v>
      </c>
      <c r="D43">
        <v>9.7940642035130221E-5</v>
      </c>
      <c r="E43">
        <v>1.5079834417504434E-24</v>
      </c>
      <c r="F43">
        <v>1.2111574556830031E-24</v>
      </c>
      <c r="G43">
        <v>1.4737110770801431E-24</v>
      </c>
      <c r="H43">
        <v>1.4759571209800918E-24</v>
      </c>
      <c r="I43">
        <v>1.4693751288925551E-24</v>
      </c>
      <c r="J43">
        <v>1.4758672699849171E-24</v>
      </c>
      <c r="K43">
        <v>1.3312320916905443E-24</v>
      </c>
      <c r="L43">
        <v>1.0487584650112867E-24</v>
      </c>
      <c r="M43">
        <v>8.4534206695778731E-25</v>
      </c>
      <c r="N43">
        <v>6.9034175334323913E-25</v>
      </c>
      <c r="O43">
        <v>5.6880509304603329E-25</v>
      </c>
      <c r="P43">
        <v>4.7437206452930362E-25</v>
      </c>
      <c r="Q43">
        <v>3.6945304437564503E-4</v>
      </c>
      <c r="R43">
        <v>1.0976421235353682E-3</v>
      </c>
      <c r="S43">
        <v>2.3159696747370993E-3</v>
      </c>
    </row>
    <row r="44" spans="1:19">
      <c r="A44">
        <v>1.4722705794578462E-22</v>
      </c>
      <c r="B44">
        <v>2.3899878885748891E-23</v>
      </c>
      <c r="C44">
        <v>1.059473513162171E-3</v>
      </c>
      <c r="D44">
        <v>4.7371290127195635E-5</v>
      </c>
      <c r="E44">
        <v>1.5286812536960379E-24</v>
      </c>
      <c r="F44">
        <v>1.2288842544316998E-24</v>
      </c>
      <c r="G44">
        <v>1.4948953547728434E-24</v>
      </c>
      <c r="H44">
        <v>1.49739663093415E-24</v>
      </c>
      <c r="I44">
        <v>1.4910290781604454E-24</v>
      </c>
      <c r="J44">
        <v>1.4977375565610859E-24</v>
      </c>
      <c r="K44">
        <v>3.4189111747850998E-4</v>
      </c>
      <c r="L44">
        <v>6.1534988713318287E-5</v>
      </c>
      <c r="M44">
        <v>8.5735080058224163E-25</v>
      </c>
      <c r="N44">
        <v>7.0014858841010398E-25</v>
      </c>
      <c r="O44">
        <v>1.0722331047992167E-4</v>
      </c>
      <c r="P44">
        <v>3.3183581784766182E-4</v>
      </c>
      <c r="Q44">
        <v>1.0110079119367045E-3</v>
      </c>
      <c r="R44">
        <v>2.1987559670186606E-3</v>
      </c>
      <c r="S44">
        <v>3.4140376620200533E-3</v>
      </c>
    </row>
    <row r="45" spans="1:19">
      <c r="A45">
        <v>1.4884357125093258E-22</v>
      </c>
      <c r="B45">
        <v>2.4162293096487686E-23</v>
      </c>
      <c r="C45">
        <v>1.6776080597985052E-4</v>
      </c>
      <c r="D45">
        <v>1.4463961235614779E-24</v>
      </c>
      <c r="E45">
        <v>1.5464222353636899E-24</v>
      </c>
      <c r="F45">
        <v>1.2424400417101148E-24</v>
      </c>
      <c r="G45">
        <v>1.5112302194997447E-24</v>
      </c>
      <c r="H45">
        <v>1.5136294027565084E-24</v>
      </c>
      <c r="I45">
        <v>1.5064961847803672E-24</v>
      </c>
      <c r="J45">
        <v>1.513574660633484E-24</v>
      </c>
      <c r="K45">
        <v>3.6647564469914038E-4</v>
      </c>
      <c r="L45">
        <v>8.6681715575620777E-5</v>
      </c>
      <c r="M45">
        <v>8.6681222707423562E-25</v>
      </c>
      <c r="N45">
        <v>1.5821693907875186E-4</v>
      </c>
      <c r="O45">
        <v>9.3805093046033319E-4</v>
      </c>
      <c r="P45">
        <v>9.597712885440065E-4</v>
      </c>
      <c r="Q45">
        <v>2.0364637082903336E-3</v>
      </c>
      <c r="R45">
        <v>3.4442354983364675E-3</v>
      </c>
      <c r="S45">
        <v>4.9437515284910735E-3</v>
      </c>
    </row>
    <row r="46" spans="1:19">
      <c r="A46">
        <v>1.4958965431484705E-22</v>
      </c>
      <c r="B46">
        <v>2.4283407347597901E-23</v>
      </c>
      <c r="C46">
        <v>7.4000649983750404E-4</v>
      </c>
      <c r="D46">
        <v>5.4645669291338581E-4</v>
      </c>
      <c r="E46">
        <v>1.5538143110585451E-24</v>
      </c>
      <c r="F46">
        <v>1.2492179353493222E-24</v>
      </c>
      <c r="G46">
        <v>1.5193976518631954E-24</v>
      </c>
      <c r="H46">
        <v>1.5218989280245022E-24</v>
      </c>
      <c r="I46">
        <v>1.6415755825943494E-5</v>
      </c>
      <c r="J46">
        <v>1.5218702865761689E-24</v>
      </c>
      <c r="K46">
        <v>7.9885386819484238E-4</v>
      </c>
      <c r="L46">
        <v>6.7358916478555309E-4</v>
      </c>
      <c r="M46">
        <v>7.0451237263464332E-4</v>
      </c>
      <c r="N46">
        <v>8.4309063893016345E-4</v>
      </c>
      <c r="O46">
        <v>1.7825661116552401E-3</v>
      </c>
      <c r="P46">
        <v>2.3973861547886459E-3</v>
      </c>
      <c r="Q46">
        <v>3.4932920536635708E-3</v>
      </c>
      <c r="R46">
        <v>4.9558802256617959E-3</v>
      </c>
      <c r="S46">
        <v>7.1655661530936653E-3</v>
      </c>
    </row>
    <row r="47" spans="1:19">
      <c r="A47">
        <v>1.5095747326535686E-22</v>
      </c>
      <c r="B47">
        <v>2.4505450141299959E-23</v>
      </c>
      <c r="C47">
        <v>1.1501462463438415E-3</v>
      </c>
      <c r="D47">
        <v>3.3567534827377344E-4</v>
      </c>
      <c r="E47">
        <v>2.1969248965109401E-4</v>
      </c>
      <c r="F47">
        <v>1.2596454640250262E-24</v>
      </c>
      <c r="G47">
        <v>1.5326697294538031E-24</v>
      </c>
      <c r="H47">
        <v>1.5344563552833076E-24</v>
      </c>
      <c r="I47">
        <v>3.0882656217776864E-4</v>
      </c>
      <c r="J47">
        <v>5.5497737556561087E-6</v>
      </c>
      <c r="K47">
        <v>1.504297994269341E-3</v>
      </c>
      <c r="L47">
        <v>1.4821670428893906E-3</v>
      </c>
      <c r="M47">
        <v>1.6804949053857347E-3</v>
      </c>
      <c r="N47">
        <v>2.1298662704309062E-3</v>
      </c>
      <c r="O47">
        <v>3.2174338883447606E-3</v>
      </c>
      <c r="P47">
        <v>3.8247906881764345E-3</v>
      </c>
      <c r="Q47">
        <v>5.1616787065703468E-3</v>
      </c>
      <c r="R47">
        <v>7.2963980905540278E-3</v>
      </c>
      <c r="S47">
        <v>9.9461971142088511E-3</v>
      </c>
    </row>
    <row r="48" spans="1:19">
      <c r="A48">
        <v>1.5170355632927132E-22</v>
      </c>
      <c r="B48">
        <v>2.4626564392410172E-23</v>
      </c>
      <c r="C48">
        <v>9.3857653558661043E-4</v>
      </c>
      <c r="D48">
        <v>9.6184130829800123E-4</v>
      </c>
      <c r="E48">
        <v>8.7876995860437606E-4</v>
      </c>
      <c r="F48">
        <v>2.4770594369134515E-4</v>
      </c>
      <c r="G48">
        <v>1.0844818785094437E-4</v>
      </c>
      <c r="H48">
        <v>1.5421133231240429E-24</v>
      </c>
      <c r="I48">
        <v>1.1105382553103734E-3</v>
      </c>
      <c r="J48">
        <v>6.2006033182503769E-4</v>
      </c>
      <c r="K48">
        <v>2.648137535816619E-3</v>
      </c>
      <c r="L48">
        <v>2.6320541760722349E-3</v>
      </c>
      <c r="M48">
        <v>3.1277292576419214E-3</v>
      </c>
      <c r="N48">
        <v>3.6790490341753342E-3</v>
      </c>
      <c r="O48">
        <v>4.6645445641527918E-3</v>
      </c>
      <c r="P48">
        <v>5.7667959975495203E-3</v>
      </c>
      <c r="Q48">
        <v>7.5180598555211553E-3</v>
      </c>
      <c r="R48">
        <v>1.0292203095616953E-2</v>
      </c>
      <c r="S48">
        <v>1.3585228662264611E-2</v>
      </c>
    </row>
    <row r="49" spans="1:19">
      <c r="A49">
        <v>1.5232529221586669E-22</v>
      </c>
      <c r="B49">
        <v>2.4727492935002017E-23</v>
      </c>
      <c r="C49">
        <v>2.3067923301917453E-3</v>
      </c>
      <c r="D49">
        <v>1.4161114476075106E-3</v>
      </c>
      <c r="E49">
        <v>8.2835600236546409E-4</v>
      </c>
      <c r="F49">
        <v>6.4859228362877989E-4</v>
      </c>
      <c r="G49">
        <v>4.5865237366003064E-4</v>
      </c>
      <c r="H49">
        <v>1.5650842266462482E-4</v>
      </c>
      <c r="I49">
        <v>2.1592080841410601E-3</v>
      </c>
      <c r="J49">
        <v>2.1742081447963801E-3</v>
      </c>
      <c r="K49">
        <v>4.368481375358166E-3</v>
      </c>
      <c r="L49">
        <v>4.1322799097065462E-3</v>
      </c>
      <c r="M49">
        <v>4.494177583697234E-3</v>
      </c>
      <c r="N49">
        <v>5.6196136701337288E-3</v>
      </c>
      <c r="O49">
        <v>6.8266405484818807E-3</v>
      </c>
      <c r="P49">
        <v>8.2683275474780462E-3</v>
      </c>
      <c r="Q49">
        <v>1.0655314757481939E-2</v>
      </c>
      <c r="R49">
        <v>1.3976565890351511E-2</v>
      </c>
      <c r="S49">
        <v>1.8097334311567619E-2</v>
      </c>
    </row>
    <row r="50" spans="1:19">
      <c r="A50">
        <v>1.5232529221586669E-22</v>
      </c>
      <c r="B50">
        <v>2.4727492935002017E-23</v>
      </c>
      <c r="C50">
        <v>2.3760155996100096E-3</v>
      </c>
      <c r="D50">
        <v>2.0726832222895215E-3</v>
      </c>
      <c r="E50">
        <v>1.281933767001774E-3</v>
      </c>
      <c r="F50">
        <v>1.3545359749739313E-3</v>
      </c>
      <c r="G50">
        <v>8.0781010719754983E-4</v>
      </c>
      <c r="H50">
        <v>9.8560490045941813E-4</v>
      </c>
      <c r="I50">
        <v>3.2037533512064343E-3</v>
      </c>
      <c r="J50">
        <v>3.3182503770739064E-3</v>
      </c>
      <c r="K50">
        <v>5.9255014326647561E-3</v>
      </c>
      <c r="L50">
        <v>5.4898419864559825E-3</v>
      </c>
      <c r="M50">
        <v>6.5756914119359522E-3</v>
      </c>
      <c r="N50">
        <v>8.0059435364041604E-3</v>
      </c>
      <c r="O50">
        <v>9.5984329089128309E-3</v>
      </c>
      <c r="P50">
        <v>1.1578517459669185E-2</v>
      </c>
      <c r="Q50">
        <v>1.4413484692122462E-2</v>
      </c>
      <c r="R50">
        <v>1.8457977723130334E-2</v>
      </c>
      <c r="S50">
        <v>2.3746637319638053E-2</v>
      </c>
    </row>
    <row r="51" spans="1:19">
      <c r="A51">
        <v>1.531957224571002E-22</v>
      </c>
      <c r="B51">
        <v>2.4868792894630602E-23</v>
      </c>
      <c r="C51">
        <v>3.5879103022424439E-3</v>
      </c>
      <c r="D51">
        <v>2.9170199878861295E-3</v>
      </c>
      <c r="E51">
        <v>3.1150206978119454E-3</v>
      </c>
      <c r="F51">
        <v>2.7111574556830031E-3</v>
      </c>
      <c r="G51">
        <v>2.8815722307299644E-3</v>
      </c>
      <c r="H51">
        <v>3.0245022970903524E-3</v>
      </c>
      <c r="I51">
        <v>5.1856052794390589E-3</v>
      </c>
      <c r="J51">
        <v>5.8295625942684764E-3</v>
      </c>
      <c r="K51">
        <v>8.2578796561604568E-3</v>
      </c>
      <c r="L51">
        <v>7.8284424379232512E-3</v>
      </c>
      <c r="M51">
        <v>9.3595342066957778E-3</v>
      </c>
      <c r="N51">
        <v>1.1298662704309063E-2</v>
      </c>
      <c r="O51">
        <v>1.3611655239960824E-2</v>
      </c>
      <c r="P51">
        <v>1.5948539922401469E-2</v>
      </c>
      <c r="Q51">
        <v>1.9418644650842792E-2</v>
      </c>
      <c r="R51">
        <v>2.4490091132648634E-2</v>
      </c>
      <c r="S51">
        <v>3.1083394472976273E-2</v>
      </c>
    </row>
    <row r="52" spans="1:19">
      <c r="A52">
        <v>1.5294702810246206E-22</v>
      </c>
      <c r="B52">
        <v>2.4828421477593863E-23</v>
      </c>
      <c r="C52">
        <v>4.9366265843353921E-3</v>
      </c>
      <c r="D52">
        <v>3.7922471229557843E-3</v>
      </c>
      <c r="E52">
        <v>4.9364281490242457E-3</v>
      </c>
      <c r="F52">
        <v>4.1162669447340986E-3</v>
      </c>
      <c r="G52">
        <v>5.1863195507912199E-3</v>
      </c>
      <c r="H52">
        <v>5.3460949464012248E-3</v>
      </c>
      <c r="I52">
        <v>7.3602804702000415E-3</v>
      </c>
      <c r="J52">
        <v>8.582202111613875E-3</v>
      </c>
      <c r="K52">
        <v>1.0739255014326647E-2</v>
      </c>
      <c r="L52">
        <v>1.10744920993228E-2</v>
      </c>
      <c r="M52">
        <v>1.3034934497816592E-2</v>
      </c>
      <c r="N52">
        <v>1.5652303120356613E-2</v>
      </c>
      <c r="O52">
        <v>1.8082761998041139E-2</v>
      </c>
      <c r="P52">
        <v>2.1605064325096998E-2</v>
      </c>
      <c r="Q52">
        <v>2.5971792225662194E-2</v>
      </c>
      <c r="R52">
        <v>3.2142340517864895E-2</v>
      </c>
      <c r="S52">
        <v>4.0217657128882367E-2</v>
      </c>
    </row>
    <row r="53" spans="1:19">
      <c r="A53">
        <v>1.5170355632927132E-22</v>
      </c>
      <c r="B53">
        <v>2.4626564392410172E-23</v>
      </c>
      <c r="C53">
        <v>7.3708157296067597E-3</v>
      </c>
      <c r="D53">
        <v>6.3900666262870984E-3</v>
      </c>
      <c r="E53">
        <v>6.1250739207569481E-3</v>
      </c>
      <c r="F53">
        <v>6.3607924921793534E-3</v>
      </c>
      <c r="G53">
        <v>7.805002552322614E-3</v>
      </c>
      <c r="H53">
        <v>8.583460949464012E-3</v>
      </c>
      <c r="I53">
        <v>1.0868220251598268E-2</v>
      </c>
      <c r="J53">
        <v>1.2986425339366515E-2</v>
      </c>
      <c r="K53">
        <v>1.4991404011461316E-2</v>
      </c>
      <c r="L53">
        <v>1.5616252821670432E-2</v>
      </c>
      <c r="M53">
        <v>1.8027656477438137E-2</v>
      </c>
      <c r="N53">
        <v>2.1396731054977709E-2</v>
      </c>
      <c r="O53">
        <v>2.4877571008814887E-2</v>
      </c>
      <c r="P53">
        <v>2.9160710639166837E-2</v>
      </c>
      <c r="Q53">
        <v>3.4451324389404889E-2</v>
      </c>
      <c r="R53">
        <v>4.247070736293939E-2</v>
      </c>
      <c r="S53">
        <v>5.233553436047933E-2</v>
      </c>
    </row>
    <row r="54" spans="1:19">
      <c r="A54">
        <v>1.5182790350659039E-22</v>
      </c>
      <c r="B54">
        <v>2.4646750100928541E-23</v>
      </c>
      <c r="C54">
        <v>9.8245043873903155E-3</v>
      </c>
      <c r="D54">
        <v>8.1526347668079945E-3</v>
      </c>
      <c r="E54">
        <v>8.6561206386753381E-3</v>
      </c>
      <c r="F54">
        <v>8.8060479666319073E-3</v>
      </c>
      <c r="G54">
        <v>1.0502807554874935E-2</v>
      </c>
      <c r="H54">
        <v>1.235375191424196E-2</v>
      </c>
      <c r="I54">
        <v>1.4879356568364612E-2</v>
      </c>
      <c r="J54">
        <v>1.762443438914027E-2</v>
      </c>
      <c r="K54">
        <v>1.9673352435530086E-2</v>
      </c>
      <c r="L54">
        <v>2.0943566591422123E-2</v>
      </c>
      <c r="M54">
        <v>2.465429403202329E-2</v>
      </c>
      <c r="N54">
        <v>2.8549777117384843E-2</v>
      </c>
      <c r="O54">
        <v>3.3006856023506372E-2</v>
      </c>
      <c r="P54">
        <v>3.8411272207473958E-2</v>
      </c>
      <c r="Q54">
        <v>4.502923976608187E-2</v>
      </c>
      <c r="R54">
        <v>5.4549399681759002E-2</v>
      </c>
      <c r="S54">
        <v>6.6666666666666666E-2</v>
      </c>
    </row>
    <row r="55" spans="1:19">
      <c r="A55">
        <v>1.0656553096244714E-2</v>
      </c>
      <c r="B55">
        <v>2.4444893015744853E-23</v>
      </c>
      <c r="C55">
        <v>1.1254468638284044E-2</v>
      </c>
      <c r="D55">
        <v>1.0745003028467596E-2</v>
      </c>
      <c r="E55">
        <v>1.212448255470136E-2</v>
      </c>
      <c r="F55">
        <v>1.2711157455683004E-2</v>
      </c>
      <c r="G55">
        <v>1.4752424706482902E-2</v>
      </c>
      <c r="H55">
        <v>1.6937212863705971E-2</v>
      </c>
      <c r="I55">
        <v>1.9931944730872345E-2</v>
      </c>
      <c r="J55">
        <v>2.3310708898944193E-2</v>
      </c>
      <c r="K55">
        <v>2.602292263610315E-2</v>
      </c>
      <c r="L55">
        <v>2.8325056433408581E-2</v>
      </c>
      <c r="M55">
        <v>3.2947598253275104E-2</v>
      </c>
      <c r="N55">
        <v>3.7682020802377411E-2</v>
      </c>
      <c r="O55">
        <v>4.3119490695396674E-2</v>
      </c>
      <c r="P55">
        <v>4.9969369001429446E-2</v>
      </c>
      <c r="Q55">
        <v>5.815273477812178E-2</v>
      </c>
      <c r="R55">
        <v>6.960798495588022E-2</v>
      </c>
      <c r="S55">
        <v>8.3944729762778184E-2</v>
      </c>
    </row>
    <row r="56" spans="1:19">
      <c r="A56">
        <v>1.9709027605073363E-2</v>
      </c>
      <c r="B56">
        <v>3.7525232135647959E-3</v>
      </c>
      <c r="C56">
        <v>1.5586610334741633E-2</v>
      </c>
      <c r="D56">
        <v>1.4760751059963658E-2</v>
      </c>
      <c r="E56">
        <v>1.6573033707865167E-2</v>
      </c>
      <c r="F56">
        <v>1.7492179353493221E-2</v>
      </c>
      <c r="G56">
        <v>2.0885655946911687E-2</v>
      </c>
      <c r="H56">
        <v>2.2909647779479323E-2</v>
      </c>
      <c r="I56">
        <v>2.6912765518663645E-2</v>
      </c>
      <c r="J56">
        <v>3.1018099547511311E-2</v>
      </c>
      <c r="K56">
        <v>3.4269340974212033E-2</v>
      </c>
      <c r="L56">
        <v>3.7932279909706546E-2</v>
      </c>
      <c r="M56">
        <v>4.381368267831149E-2</v>
      </c>
      <c r="N56">
        <v>4.9658246656760767E-2</v>
      </c>
      <c r="O56">
        <v>5.636630754162586E-2</v>
      </c>
      <c r="P56">
        <v>6.4733510312436182E-2</v>
      </c>
      <c r="Q56">
        <v>7.5094599243206051E-2</v>
      </c>
      <c r="R56">
        <v>8.8977289165340659E-2</v>
      </c>
      <c r="S56">
        <v>0.10596722915138175</v>
      </c>
    </row>
    <row r="57" spans="1:19">
      <c r="A57">
        <v>4.340959960208903E-3</v>
      </c>
      <c r="B57">
        <v>1.3407347597900686E-2</v>
      </c>
      <c r="C57">
        <v>2.0042248943776406E-2</v>
      </c>
      <c r="D57">
        <v>1.9666868564506359E-2</v>
      </c>
      <c r="E57">
        <v>2.1658781785925486E-2</v>
      </c>
      <c r="F57">
        <v>2.3529718456725756E-2</v>
      </c>
      <c r="G57">
        <v>2.7896886166411436E-2</v>
      </c>
      <c r="H57">
        <v>3.1026033690658497E-2</v>
      </c>
      <c r="I57">
        <v>3.4904103938956481E-2</v>
      </c>
      <c r="J57">
        <v>4.1040723981900451E-2</v>
      </c>
      <c r="K57">
        <v>4.4584527220630367E-2</v>
      </c>
      <c r="L57">
        <v>4.975169300225734E-2</v>
      </c>
      <c r="M57">
        <v>5.651382823871906E-2</v>
      </c>
      <c r="N57">
        <v>6.3893016344725106E-2</v>
      </c>
      <c r="O57">
        <v>7.2477962781586677E-2</v>
      </c>
      <c r="P57">
        <v>8.2948744129058602E-2</v>
      </c>
      <c r="Q57">
        <v>9.5321637426900585E-2</v>
      </c>
      <c r="R57">
        <v>0.11204976131925357</v>
      </c>
      <c r="S57">
        <v>0.13218390804597699</v>
      </c>
    </row>
    <row r="58" spans="1:19">
      <c r="A58">
        <v>9.5734891817955727E-3</v>
      </c>
      <c r="B58">
        <v>1.6653209527654422E-2</v>
      </c>
      <c r="C58">
        <v>2.5264868378290544E-2</v>
      </c>
      <c r="D58">
        <v>2.6062992125984251E-2</v>
      </c>
      <c r="E58">
        <v>2.915434654050857E-2</v>
      </c>
      <c r="F58">
        <v>3.1730969760166844E-2</v>
      </c>
      <c r="G58">
        <v>3.6727922409392551E-2</v>
      </c>
      <c r="H58">
        <v>4.0995405819295554E-2</v>
      </c>
      <c r="I58">
        <v>4.62363373891524E-2</v>
      </c>
      <c r="J58">
        <v>5.2933634992458518E-2</v>
      </c>
      <c r="K58">
        <v>5.8051575931232086E-2</v>
      </c>
      <c r="L58">
        <v>6.4514672686230248E-2</v>
      </c>
      <c r="M58">
        <v>7.2962154294032022E-2</v>
      </c>
      <c r="N58">
        <v>8.190193164933135E-2</v>
      </c>
      <c r="O58">
        <v>9.2605288932419205E-2</v>
      </c>
      <c r="P58">
        <v>0.10508474576271185</v>
      </c>
      <c r="Q58">
        <v>0.12026143790849673</v>
      </c>
      <c r="R58">
        <v>0.13995371040069435</v>
      </c>
      <c r="S58">
        <v>0.16312056737588651</v>
      </c>
    </row>
    <row r="59" spans="1:19">
      <c r="A59">
        <v>5.4066152698333737E-2</v>
      </c>
      <c r="B59">
        <v>3.2276947920872025E-2</v>
      </c>
      <c r="C59">
        <v>3.4514137146571339E-2</v>
      </c>
      <c r="D59">
        <v>3.4548758328285883E-2</v>
      </c>
      <c r="E59">
        <v>3.8010053222944998E-2</v>
      </c>
      <c r="F59">
        <v>4.2575599582898853E-2</v>
      </c>
      <c r="G59">
        <v>4.8545176110260338E-2</v>
      </c>
      <c r="H59">
        <v>5.4241960183767229E-2</v>
      </c>
      <c r="I59">
        <v>6.1425036089915445E-2</v>
      </c>
      <c r="J59">
        <v>6.8853695324283565E-2</v>
      </c>
      <c r="K59">
        <v>7.5931232091690545E-2</v>
      </c>
      <c r="L59">
        <v>8.4695259593679462E-2</v>
      </c>
      <c r="M59">
        <v>9.4941775836972345E-2</v>
      </c>
      <c r="N59">
        <v>0.10606240713224367</v>
      </c>
      <c r="O59">
        <v>0.11958863858961803</v>
      </c>
      <c r="P59">
        <v>0.13502144169899938</v>
      </c>
      <c r="Q59">
        <v>0.15314757481940144</v>
      </c>
      <c r="R59">
        <v>0.17618978735715318</v>
      </c>
      <c r="S59">
        <v>0.20261677671802394</v>
      </c>
    </row>
    <row r="60" spans="1:19">
      <c r="A60">
        <v>8.726684904252674E-2</v>
      </c>
      <c r="B60">
        <v>4.836495761001211E-2</v>
      </c>
      <c r="C60">
        <v>4.4458888527786802E-2</v>
      </c>
      <c r="D60">
        <v>4.7044215626892788E-2</v>
      </c>
      <c r="E60">
        <v>5.0990538143110581E-2</v>
      </c>
      <c r="F60">
        <v>5.6725755995828991E-2</v>
      </c>
      <c r="G60">
        <v>6.5288412455334358E-2</v>
      </c>
      <c r="H60">
        <v>7.3231240428790201E-2</v>
      </c>
      <c r="I60">
        <v>8.1501340482573723E-2</v>
      </c>
      <c r="J60">
        <v>9.1251885369532423E-2</v>
      </c>
      <c r="K60">
        <v>0.10091690544412607</v>
      </c>
      <c r="L60">
        <v>0.11142212189616253</v>
      </c>
      <c r="M60">
        <v>0.12478165938864627</v>
      </c>
      <c r="N60">
        <v>0.13872213967310548</v>
      </c>
      <c r="O60">
        <v>0.15531341821743389</v>
      </c>
      <c r="P60">
        <v>0.17429038186644885</v>
      </c>
      <c r="Q60">
        <v>0.19607843137254899</v>
      </c>
      <c r="R60">
        <v>0.22291335165629972</v>
      </c>
      <c r="S60">
        <v>0.25287356321839077</v>
      </c>
    </row>
    <row r="61" spans="1:19">
      <c r="A61">
        <v>5.7721959711514545E-2</v>
      </c>
      <c r="B61">
        <v>5.8700040371417038E-2</v>
      </c>
      <c r="C61">
        <v>5.9278518037049074E-2</v>
      </c>
      <c r="D61">
        <v>6.2204724409448811E-2</v>
      </c>
      <c r="E61">
        <v>6.6913069189828492E-2</v>
      </c>
      <c r="F61">
        <v>7.40354535974974E-2</v>
      </c>
      <c r="G61">
        <v>8.5171005615109749E-2</v>
      </c>
      <c r="H61">
        <v>9.5666156202143943E-2</v>
      </c>
      <c r="I61">
        <v>0.10641369354506083</v>
      </c>
      <c r="J61">
        <v>0.11862745098039215</v>
      </c>
      <c r="K61">
        <v>0.13128939828080227</v>
      </c>
      <c r="L61">
        <v>0.14501128668171559</v>
      </c>
      <c r="M61">
        <v>0.16164483260553128</v>
      </c>
      <c r="N61">
        <v>0.17860326894502226</v>
      </c>
      <c r="O61">
        <v>0.1992409402546523</v>
      </c>
      <c r="P61">
        <v>0.22197263630794362</v>
      </c>
      <c r="Q61">
        <v>0.24767801857585139</v>
      </c>
      <c r="R61">
        <v>0.27860552582091708</v>
      </c>
      <c r="S61">
        <v>0.31217901687454142</v>
      </c>
    </row>
    <row r="62" spans="1:19">
      <c r="A62">
        <v>0.11425018652076598</v>
      </c>
      <c r="B62">
        <v>7.9491320145337094E-2</v>
      </c>
      <c r="C62">
        <v>7.7348066298342552E-2</v>
      </c>
      <c r="D62">
        <v>8.1102362204724401E-2</v>
      </c>
      <c r="E62">
        <v>8.6487285629804844E-2</v>
      </c>
      <c r="F62">
        <v>9.5933263816475489E-2</v>
      </c>
      <c r="G62">
        <v>0.10964777947932619</v>
      </c>
      <c r="H62">
        <v>0.12304747320061256</v>
      </c>
      <c r="I62">
        <v>0.13683233656424007</v>
      </c>
      <c r="J62">
        <v>0.15301659125188535</v>
      </c>
      <c r="K62">
        <v>0.16853868194842403</v>
      </c>
      <c r="L62">
        <v>0.18613995485327314</v>
      </c>
      <c r="M62">
        <v>0.20655021834061132</v>
      </c>
      <c r="N62">
        <v>0.22680534918276374</v>
      </c>
      <c r="O62">
        <v>0.25146914789422137</v>
      </c>
      <c r="P62">
        <v>0.27812946702062485</v>
      </c>
      <c r="Q62">
        <v>0.30787753697970416</v>
      </c>
      <c r="R62">
        <v>0.34239837986402427</v>
      </c>
      <c r="S62">
        <v>0.37906578625580822</v>
      </c>
    </row>
    <row r="63" spans="1:19">
      <c r="A63">
        <v>0.14362098980353144</v>
      </c>
      <c r="B63">
        <v>0.11108195397658457</v>
      </c>
      <c r="C63">
        <v>0.10149496262593435</v>
      </c>
      <c r="D63">
        <v>0.1047244094488189</v>
      </c>
      <c r="E63">
        <v>0.11130987581312832</v>
      </c>
      <c r="F63">
        <v>0.12403545359749739</v>
      </c>
      <c r="G63">
        <v>0.1411689637570189</v>
      </c>
      <c r="H63">
        <v>0.15849923430321591</v>
      </c>
      <c r="I63">
        <v>0.17539698906991133</v>
      </c>
      <c r="J63">
        <v>0.19524886877828054</v>
      </c>
      <c r="K63">
        <v>0.21495702005730657</v>
      </c>
      <c r="L63">
        <v>0.23670428893905193</v>
      </c>
      <c r="M63">
        <v>0.26077147016011643</v>
      </c>
      <c r="N63">
        <v>0.28490341753343235</v>
      </c>
      <c r="O63">
        <v>0.31341821743388837</v>
      </c>
      <c r="P63">
        <v>0.34367980396160913</v>
      </c>
      <c r="Q63">
        <v>0.37667698658410731</v>
      </c>
      <c r="R63">
        <v>0.41371329379430055</v>
      </c>
      <c r="S63">
        <v>0.45169968207385663</v>
      </c>
    </row>
    <row r="64" spans="1:19">
      <c r="A64">
        <v>0.18664511315593135</v>
      </c>
      <c r="B64">
        <v>0.14566007266855066</v>
      </c>
      <c r="C64">
        <v>0.13165420864478389</v>
      </c>
      <c r="D64">
        <v>0.13670502725620834</v>
      </c>
      <c r="E64">
        <v>0.14519515079834416</v>
      </c>
      <c r="F64">
        <v>0.16110531803962461</v>
      </c>
      <c r="G64">
        <v>0.1827462991322103</v>
      </c>
      <c r="H64">
        <v>0.20520673813169985</v>
      </c>
      <c r="I64">
        <v>0.22726335326871522</v>
      </c>
      <c r="J64">
        <v>0.25180995475113122</v>
      </c>
      <c r="K64">
        <v>0.27604584527220627</v>
      </c>
      <c r="L64">
        <v>0.30284424379232505</v>
      </c>
      <c r="M64">
        <v>0.33104075691411933</v>
      </c>
      <c r="N64">
        <v>0.35898959881129267</v>
      </c>
      <c r="O64">
        <v>0.39103819784524979</v>
      </c>
      <c r="P64">
        <v>0.42434143353073306</v>
      </c>
      <c r="Q64">
        <v>0.45975232198142413</v>
      </c>
      <c r="R64">
        <v>0.49790250253146245</v>
      </c>
      <c r="S64">
        <v>0.53533871362191243</v>
      </c>
    </row>
    <row r="65" spans="1:19">
      <c r="A65">
        <v>0.21027107684655555</v>
      </c>
      <c r="B65">
        <v>0.18976584578118691</v>
      </c>
      <c r="C65">
        <v>0.17533311667208323</v>
      </c>
      <c r="D65">
        <v>0.17855844942459115</v>
      </c>
      <c r="E65">
        <v>0.18968066232998224</v>
      </c>
      <c r="F65">
        <v>0.21058394160583943</v>
      </c>
      <c r="G65">
        <v>0.2379019908116386</v>
      </c>
      <c r="H65">
        <v>0.26630934150076568</v>
      </c>
      <c r="I65">
        <v>0.29480305217570629</v>
      </c>
      <c r="J65">
        <v>0.32533936651583711</v>
      </c>
      <c r="K65">
        <v>0.3540974212034384</v>
      </c>
      <c r="L65">
        <v>0.38541760722347634</v>
      </c>
      <c r="M65">
        <v>0.41812227074235803</v>
      </c>
      <c r="N65">
        <v>0.44962852897473993</v>
      </c>
      <c r="O65">
        <v>0.48457394711067586</v>
      </c>
      <c r="P65">
        <v>0.52052276904227068</v>
      </c>
      <c r="Q65">
        <v>0.55675954592363264</v>
      </c>
      <c r="R65">
        <v>0.59438738608418917</v>
      </c>
      <c r="S65">
        <v>0.62949376375641952</v>
      </c>
    </row>
    <row r="66" spans="1:19">
      <c r="A66">
        <v>0.3214374533698085</v>
      </c>
      <c r="B66">
        <v>0.24465078724263223</v>
      </c>
      <c r="C66">
        <v>0.23103672408189796</v>
      </c>
      <c r="D66">
        <v>0.23912780133252573</v>
      </c>
      <c r="E66">
        <v>0.25280898876404495</v>
      </c>
      <c r="F66">
        <v>0.27966631908237749</v>
      </c>
      <c r="G66">
        <v>0.3159775395610005</v>
      </c>
      <c r="H66">
        <v>0.35222052067381315</v>
      </c>
      <c r="I66">
        <v>0.38770880593936896</v>
      </c>
      <c r="J66">
        <v>0.42466063348416289</v>
      </c>
      <c r="K66">
        <v>0.45828080229226359</v>
      </c>
      <c r="L66">
        <v>0.49345372460496617</v>
      </c>
      <c r="M66">
        <v>0.5302037845705968</v>
      </c>
      <c r="N66">
        <v>0.5637444279346211</v>
      </c>
      <c r="O66">
        <v>0.59965719882468171</v>
      </c>
      <c r="P66">
        <v>0.63569532366755155</v>
      </c>
      <c r="Q66">
        <v>0.6713106295149639</v>
      </c>
      <c r="R66">
        <v>0.70606104440908435</v>
      </c>
      <c r="S66">
        <v>0.73734409391049149</v>
      </c>
    </row>
    <row r="67" spans="1:19">
      <c r="A67">
        <v>0.40350659040039794</v>
      </c>
      <c r="B67">
        <v>0.3116673395236173</v>
      </c>
      <c r="C67">
        <v>0.29746506337341566</v>
      </c>
      <c r="D67">
        <v>0.30484554815263476</v>
      </c>
      <c r="E67">
        <v>0.3239207569485511</v>
      </c>
      <c r="F67">
        <v>0.35683003128258606</v>
      </c>
      <c r="G67">
        <v>0.3996937212863706</v>
      </c>
      <c r="H67">
        <v>0.44318529862174577</v>
      </c>
      <c r="I67">
        <v>0.48473912146834403</v>
      </c>
      <c r="J67">
        <v>0.52564102564102555</v>
      </c>
      <c r="K67">
        <v>0.56126074498567335</v>
      </c>
      <c r="L67">
        <v>0.59909706546275399</v>
      </c>
      <c r="M67">
        <v>0.63609898107714702</v>
      </c>
      <c r="N67">
        <v>0.66835066864784543</v>
      </c>
      <c r="O67">
        <v>0.70225269343780605</v>
      </c>
      <c r="P67">
        <v>0.73514396569328155</v>
      </c>
      <c r="Q67">
        <v>0.76694186446508417</v>
      </c>
      <c r="R67">
        <v>0.79704903804426441</v>
      </c>
      <c r="S67">
        <v>0.8228173147468818</v>
      </c>
    </row>
    <row r="68" spans="1:19">
      <c r="A68">
        <v>0.48532703307634911</v>
      </c>
      <c r="B68">
        <v>0.39099717400080741</v>
      </c>
      <c r="C68">
        <v>0.37764055898602539</v>
      </c>
      <c r="D68">
        <v>0.38558449424591157</v>
      </c>
      <c r="E68">
        <v>0.40759905381431105</v>
      </c>
      <c r="F68">
        <v>0.44666319082377476</v>
      </c>
      <c r="G68">
        <v>0.49693721286370601</v>
      </c>
      <c r="H68">
        <v>0.54563552833078099</v>
      </c>
      <c r="I68">
        <v>0.58991544648381111</v>
      </c>
      <c r="J68">
        <v>0.63273001508295623</v>
      </c>
      <c r="K68">
        <v>0.66762177650429799</v>
      </c>
      <c r="L68">
        <v>0.70428893905191881</v>
      </c>
      <c r="M68">
        <v>0.7379912663755458</v>
      </c>
      <c r="N68">
        <v>0.76612184249628523</v>
      </c>
      <c r="O68">
        <v>0.79456415279138115</v>
      </c>
      <c r="P68">
        <v>0.82111496834796804</v>
      </c>
      <c r="Q68">
        <v>0.84623323013415885</v>
      </c>
      <c r="R68">
        <v>0.86850860697237076</v>
      </c>
      <c r="S68">
        <v>0.88713621912448026</v>
      </c>
    </row>
    <row r="69" spans="1:19">
      <c r="A69">
        <v>0.57908480477493163</v>
      </c>
      <c r="B69">
        <v>0.4836495761001211</v>
      </c>
      <c r="C69">
        <v>0.47546311342216452</v>
      </c>
      <c r="D69">
        <v>0.48413082980012112</v>
      </c>
      <c r="E69">
        <v>0.51034890597279714</v>
      </c>
      <c r="F69">
        <v>0.55526590198123049</v>
      </c>
      <c r="G69">
        <v>0.61128126595201637</v>
      </c>
      <c r="H69">
        <v>0.66309341500765695</v>
      </c>
      <c r="I69">
        <v>0.7076716848834812</v>
      </c>
      <c r="J69">
        <v>0.75030165912518854</v>
      </c>
      <c r="K69">
        <v>0.78166189111747852</v>
      </c>
      <c r="L69">
        <v>0.8130925507900677</v>
      </c>
      <c r="M69">
        <v>0.84133915574963603</v>
      </c>
      <c r="N69">
        <v>0.86181277860326888</v>
      </c>
      <c r="O69">
        <v>0.8817335945151813</v>
      </c>
      <c r="P69">
        <v>0.89973453134572179</v>
      </c>
      <c r="Q69">
        <v>0.91606467148262805</v>
      </c>
      <c r="R69">
        <v>0.92984232605236505</v>
      </c>
      <c r="S69">
        <v>0.94008314991440434</v>
      </c>
    </row>
    <row r="70" spans="1:19">
      <c r="A70">
        <v>0.68179557324048745</v>
      </c>
      <c r="B70">
        <v>0.59568025837706906</v>
      </c>
      <c r="C70">
        <v>0.58661033474163149</v>
      </c>
      <c r="D70">
        <v>0.59927316777710482</v>
      </c>
      <c r="E70">
        <v>0.62891780011827314</v>
      </c>
      <c r="F70">
        <v>0.67778936392075084</v>
      </c>
      <c r="G70">
        <v>0.73685553854007158</v>
      </c>
      <c r="H70">
        <v>0.78897396630934147</v>
      </c>
      <c r="I70">
        <v>0.8305836254897917</v>
      </c>
      <c r="J70">
        <v>0.86877828054298634</v>
      </c>
      <c r="K70">
        <v>0.89340974212034374</v>
      </c>
      <c r="L70">
        <v>0.91693002257336353</v>
      </c>
      <c r="M70">
        <v>0.93631732168850068</v>
      </c>
      <c r="N70">
        <v>0.94710252600297162</v>
      </c>
      <c r="O70">
        <v>0.95739471106758089</v>
      </c>
      <c r="P70">
        <v>0.96610169491525422</v>
      </c>
      <c r="Q70">
        <v>0.97316821465428283</v>
      </c>
      <c r="R70">
        <v>0.97902502531462454</v>
      </c>
      <c r="S70">
        <v>0.9822695035460991</v>
      </c>
    </row>
    <row r="71" spans="1:19">
      <c r="A71">
        <v>0.75963690624222824</v>
      </c>
      <c r="B71">
        <v>0.70407751312071054</v>
      </c>
      <c r="C71">
        <v>0.7016574585635359</v>
      </c>
      <c r="D71">
        <v>0.71592973955178685</v>
      </c>
      <c r="E71">
        <v>0.74674748669426372</v>
      </c>
      <c r="F71">
        <v>0.79718456725756004</v>
      </c>
      <c r="G71">
        <v>0.85349668198060236</v>
      </c>
      <c r="H71">
        <v>0.90137825421133233</v>
      </c>
      <c r="I71">
        <v>0.93493503815219625</v>
      </c>
      <c r="J71">
        <v>0.96380090497737558</v>
      </c>
      <c r="K71">
        <v>0.97765042979942685</v>
      </c>
      <c r="L71">
        <v>0.99097065462753953</v>
      </c>
      <c r="M71">
        <v>1</v>
      </c>
      <c r="N71">
        <v>1</v>
      </c>
      <c r="O71">
        <v>1</v>
      </c>
      <c r="P71">
        <v>1</v>
      </c>
      <c r="Q71">
        <v>1</v>
      </c>
      <c r="R71">
        <v>1</v>
      </c>
      <c r="S71">
        <v>1</v>
      </c>
    </row>
    <row r="72" spans="1:19">
      <c r="A72">
        <v>0.84879383238000494</v>
      </c>
      <c r="B72">
        <v>0.80722648364957617</v>
      </c>
      <c r="C72">
        <v>0.79883002924926882</v>
      </c>
      <c r="D72">
        <v>0.8122350090854028</v>
      </c>
      <c r="E72">
        <v>0.84077468953282075</v>
      </c>
      <c r="F72">
        <v>0.88477580813347234</v>
      </c>
      <c r="G72">
        <v>0.93210821847881586</v>
      </c>
      <c r="H72">
        <v>0.96539050535987736</v>
      </c>
      <c r="I72">
        <v>0.98535780573314091</v>
      </c>
      <c r="J72">
        <v>1</v>
      </c>
      <c r="K72">
        <v>1</v>
      </c>
      <c r="L72">
        <v>1</v>
      </c>
      <c r="M72">
        <v>0.99672489082969418</v>
      </c>
      <c r="N72">
        <v>0.98632986627043084</v>
      </c>
      <c r="O72">
        <v>0.97722820763956919</v>
      </c>
      <c r="P72">
        <v>0.96957320808658365</v>
      </c>
      <c r="Q72">
        <v>0.9633642930856553</v>
      </c>
      <c r="R72">
        <v>0.96036453059453208</v>
      </c>
      <c r="S72">
        <v>0.96013695280019562</v>
      </c>
    </row>
    <row r="73" spans="1:19">
      <c r="A73">
        <v>0.90673961701069383</v>
      </c>
      <c r="B73">
        <v>0.88756560355268466</v>
      </c>
      <c r="C73">
        <v>0.8804029899252519</v>
      </c>
      <c r="D73">
        <v>0.89339794064203504</v>
      </c>
      <c r="E73">
        <v>0.91543465405085744</v>
      </c>
      <c r="F73">
        <v>0.94890510948905105</v>
      </c>
      <c r="G73">
        <v>0.97958141909137308</v>
      </c>
      <c r="H73">
        <v>0.99663093415007664</v>
      </c>
      <c r="I73">
        <v>1</v>
      </c>
      <c r="J73">
        <v>1</v>
      </c>
      <c r="K73">
        <v>0.98624641833810889</v>
      </c>
      <c r="L73">
        <v>0.97471783295711056</v>
      </c>
      <c r="M73">
        <v>0.96179039301310032</v>
      </c>
      <c r="N73">
        <v>0.94294205052005942</v>
      </c>
      <c r="O73">
        <v>0.92678746327130279</v>
      </c>
      <c r="P73">
        <v>0.9140289973453134</v>
      </c>
      <c r="Q73">
        <v>0.90436876504987962</v>
      </c>
      <c r="R73">
        <v>0.89946477650802836</v>
      </c>
      <c r="S73">
        <v>0.8999755441428221</v>
      </c>
    </row>
    <row r="74" spans="1:19">
      <c r="A74">
        <v>0.97923402138771443</v>
      </c>
      <c r="B74">
        <v>0.9457004440855874</v>
      </c>
      <c r="C74">
        <v>0.94800129996750082</v>
      </c>
      <c r="D74">
        <v>0.95639006662628701</v>
      </c>
      <c r="E74">
        <v>0.97057953873447655</v>
      </c>
      <c r="F74">
        <v>0.9874869655891555</v>
      </c>
      <c r="G74">
        <v>1</v>
      </c>
      <c r="H74">
        <v>1</v>
      </c>
      <c r="I74">
        <v>0.98752320065992993</v>
      </c>
      <c r="J74">
        <v>0.97435897435897434</v>
      </c>
      <c r="K74">
        <v>0.95014326647564462</v>
      </c>
      <c r="L74">
        <v>0.92957110609480831</v>
      </c>
      <c r="M74">
        <v>0.90938864628820959</v>
      </c>
      <c r="N74">
        <v>0.88588410104011883</v>
      </c>
      <c r="O74">
        <v>0.86606268364348682</v>
      </c>
      <c r="P74">
        <v>0.85113334694711051</v>
      </c>
      <c r="Q74">
        <v>0.83986928104575165</v>
      </c>
      <c r="R74">
        <v>0.83437002748444955</v>
      </c>
      <c r="S74">
        <v>0.83516752262166782</v>
      </c>
    </row>
    <row r="75" spans="1:19">
      <c r="A75">
        <v>0.99340959960208886</v>
      </c>
      <c r="B75">
        <v>0.99152200242228505</v>
      </c>
      <c r="C75">
        <v>0.9925251868703282</v>
      </c>
      <c r="D75">
        <v>0.99697153240460323</v>
      </c>
      <c r="E75">
        <v>1</v>
      </c>
      <c r="F75">
        <v>1</v>
      </c>
      <c r="G75">
        <v>0.99310872894333846</v>
      </c>
      <c r="H75">
        <v>0.97702909647779479</v>
      </c>
      <c r="I75">
        <v>0.95081460094864922</v>
      </c>
      <c r="J75">
        <v>0.92760180995475106</v>
      </c>
      <c r="K75">
        <v>0.89684813753581649</v>
      </c>
      <c r="L75">
        <v>0.87042889390519185</v>
      </c>
      <c r="M75">
        <v>0.84752547307132464</v>
      </c>
      <c r="N75">
        <v>0.82199108469539373</v>
      </c>
      <c r="O75">
        <v>0.80142017629774742</v>
      </c>
      <c r="P75">
        <v>0.78639983663467428</v>
      </c>
      <c r="Q75">
        <v>0.77536979704162368</v>
      </c>
      <c r="R75">
        <v>0.7708664834370027</v>
      </c>
      <c r="S75">
        <v>0.77280508681829296</v>
      </c>
    </row>
    <row r="76" spans="1:19">
      <c r="A76">
        <v>1</v>
      </c>
      <c r="B76">
        <v>1</v>
      </c>
      <c r="C76">
        <v>1</v>
      </c>
      <c r="D76">
        <v>1</v>
      </c>
      <c r="E76">
        <v>0.9909816676522768</v>
      </c>
      <c r="F76">
        <v>0.97393117831074039</v>
      </c>
      <c r="G76">
        <v>0.95125063808065335</v>
      </c>
      <c r="H76">
        <v>0.92189892802450224</v>
      </c>
      <c r="I76">
        <v>0.88636832336564242</v>
      </c>
      <c r="J76">
        <v>0.85822021116138747</v>
      </c>
      <c r="K76">
        <v>0.82406876790830941</v>
      </c>
      <c r="L76">
        <v>0.79638826185101586</v>
      </c>
      <c r="M76">
        <v>0.77292576419213976</v>
      </c>
      <c r="N76">
        <v>0.74858841010401189</v>
      </c>
      <c r="O76">
        <v>0.72967678746327136</v>
      </c>
      <c r="P76">
        <v>0.71615274657953853</v>
      </c>
      <c r="Q76">
        <v>0.70725834193326453</v>
      </c>
      <c r="R76">
        <v>0.70490380442644296</v>
      </c>
      <c r="S76">
        <v>0.70873074101247246</v>
      </c>
    </row>
    <row r="77" spans="1:19">
      <c r="A77">
        <v>0.88398408356130309</v>
      </c>
      <c r="B77">
        <v>0.95861929753734354</v>
      </c>
      <c r="C77">
        <v>0.96425089372765682</v>
      </c>
      <c r="D77">
        <v>0.95881284070260453</v>
      </c>
      <c r="E77">
        <v>0.9382022471910112</v>
      </c>
      <c r="F77">
        <v>0.90615224191866539</v>
      </c>
      <c r="G77">
        <v>0.87059724349157741</v>
      </c>
      <c r="H77">
        <v>0.83415007656967832</v>
      </c>
      <c r="I77">
        <v>0.79521550835223753</v>
      </c>
      <c r="J77">
        <v>0.7662141779788838</v>
      </c>
      <c r="K77">
        <v>0.73237822349570203</v>
      </c>
      <c r="L77">
        <v>0.7060948081264109</v>
      </c>
      <c r="M77">
        <v>0.68558951965065495</v>
      </c>
      <c r="N77">
        <v>0.66419019316493311</v>
      </c>
      <c r="O77">
        <v>0.64764936336924595</v>
      </c>
      <c r="P77">
        <v>0.63712477026751069</v>
      </c>
      <c r="Q77">
        <v>0.63054695562435503</v>
      </c>
      <c r="R77">
        <v>0.63026182554607257</v>
      </c>
      <c r="S77">
        <v>0.63573000733675711</v>
      </c>
    </row>
    <row r="78" spans="1:19">
      <c r="A78">
        <v>0.76535687639890571</v>
      </c>
      <c r="B78">
        <v>0.88029874848607181</v>
      </c>
      <c r="C78">
        <v>0.88430289242768934</v>
      </c>
      <c r="D78">
        <v>0.87522713506965466</v>
      </c>
      <c r="E78">
        <v>0.84402720283855703</v>
      </c>
      <c r="F78">
        <v>0.80187695516162671</v>
      </c>
      <c r="G78">
        <v>0.75957120980091886</v>
      </c>
      <c r="H78">
        <v>0.7208269525267994</v>
      </c>
      <c r="I78">
        <v>0.68261497215920808</v>
      </c>
      <c r="J78">
        <v>0.65663650075414781</v>
      </c>
      <c r="K78">
        <v>0.62636103151862454</v>
      </c>
      <c r="L78">
        <v>0.60361173814898417</v>
      </c>
      <c r="M78">
        <v>0.58697234352256178</v>
      </c>
      <c r="N78">
        <v>0.5690936106983655</v>
      </c>
      <c r="O78">
        <v>0.55607247796278159</v>
      </c>
      <c r="P78">
        <v>0.54788646109863171</v>
      </c>
      <c r="Q78">
        <v>0.54351565187478501</v>
      </c>
      <c r="R78">
        <v>0.5440474468392883</v>
      </c>
      <c r="S78">
        <v>0.55013450721447776</v>
      </c>
    </row>
    <row r="79" spans="1:19">
      <c r="A79">
        <v>0.75665257398657049</v>
      </c>
      <c r="B79">
        <v>0.81388776746063785</v>
      </c>
      <c r="C79">
        <v>0.81475463113422175</v>
      </c>
      <c r="D79">
        <v>0.80133252574197456</v>
      </c>
      <c r="E79">
        <v>0.76271437019515065</v>
      </c>
      <c r="F79">
        <v>0.71376433785192905</v>
      </c>
      <c r="G79">
        <v>0.66921898928024504</v>
      </c>
      <c r="H79">
        <v>0.63246554364471663</v>
      </c>
      <c r="I79">
        <v>0.5974427717055063</v>
      </c>
      <c r="J79">
        <v>0.57428355957767718</v>
      </c>
      <c r="K79">
        <v>0.54865329512893979</v>
      </c>
      <c r="L79">
        <v>0.52957110609480817</v>
      </c>
      <c r="M79">
        <v>0.514919941775837</v>
      </c>
      <c r="N79">
        <v>0.50044576523031203</v>
      </c>
      <c r="O79">
        <v>0.48922624877571014</v>
      </c>
      <c r="P79">
        <v>0.48254033081478453</v>
      </c>
      <c r="Q79">
        <v>0.47850017199862399</v>
      </c>
      <c r="R79">
        <v>0.47909735281353966</v>
      </c>
      <c r="S79">
        <v>0.48422597212032276</v>
      </c>
    </row>
    <row r="80" spans="1:19">
      <c r="A80">
        <v>0.67122606316836608</v>
      </c>
      <c r="B80">
        <v>0.76483649576100121</v>
      </c>
      <c r="C80">
        <v>0.7578810529736757</v>
      </c>
      <c r="D80">
        <v>0.74136886735311924</v>
      </c>
      <c r="E80">
        <v>0.69825547013601419</v>
      </c>
      <c r="F80">
        <v>0.64702815432742444</v>
      </c>
      <c r="G80">
        <v>0.60336906584992345</v>
      </c>
      <c r="H80">
        <v>0.56906584992343023</v>
      </c>
      <c r="I80">
        <v>0.5382553103732729</v>
      </c>
      <c r="J80">
        <v>0.51802413273001502</v>
      </c>
      <c r="K80">
        <v>0.49558739255014322</v>
      </c>
      <c r="L80">
        <v>0.47810383747178331</v>
      </c>
      <c r="M80">
        <v>0.46615720524017462</v>
      </c>
      <c r="N80">
        <v>0.4531946508172362</v>
      </c>
      <c r="O80">
        <v>0.44294809010773756</v>
      </c>
      <c r="P80">
        <v>0.43638962630181743</v>
      </c>
      <c r="Q80">
        <v>0.43274853801169588</v>
      </c>
      <c r="R80">
        <v>0.43295240850571381</v>
      </c>
      <c r="S80">
        <v>0.43727072633895814</v>
      </c>
    </row>
    <row r="81" spans="1:19">
      <c r="A81">
        <v>0.62260631683660772</v>
      </c>
      <c r="B81">
        <v>0.70710536939846591</v>
      </c>
      <c r="C81">
        <v>0.70100747481312975</v>
      </c>
      <c r="D81">
        <v>0.68140520896426404</v>
      </c>
      <c r="E81">
        <v>0.63675340035481953</v>
      </c>
      <c r="F81">
        <v>0.58654848800834203</v>
      </c>
      <c r="G81">
        <v>0.54543134252169478</v>
      </c>
      <c r="H81">
        <v>0.51516079632465539</v>
      </c>
      <c r="I81">
        <v>0.48711074448339864</v>
      </c>
      <c r="J81">
        <v>0.47006033182503765</v>
      </c>
      <c r="K81">
        <v>0.4496848137535816</v>
      </c>
      <c r="L81">
        <v>0.43435665914221222</v>
      </c>
      <c r="M81">
        <v>0.423216885007278</v>
      </c>
      <c r="N81">
        <v>0.41158989598811291</v>
      </c>
      <c r="O81">
        <v>0.40230166503428016</v>
      </c>
      <c r="P81">
        <v>0.39595670818868695</v>
      </c>
      <c r="Q81">
        <v>0.39250085999312007</v>
      </c>
      <c r="R81">
        <v>0.39259366411109503</v>
      </c>
      <c r="S81">
        <v>0.39655172413793099</v>
      </c>
    </row>
    <row r="82" spans="1:19">
      <c r="A82">
        <v>0.55993533946779406</v>
      </c>
      <c r="B82">
        <v>0.63988696003229717</v>
      </c>
      <c r="C82">
        <v>0.63535911602209949</v>
      </c>
      <c r="D82">
        <v>0.61538461538461542</v>
      </c>
      <c r="E82">
        <v>0.57214665878178583</v>
      </c>
      <c r="F82">
        <v>0.52502606882168923</v>
      </c>
      <c r="G82">
        <v>0.48800408371618176</v>
      </c>
      <c r="H82">
        <v>0.46186830015313929</v>
      </c>
      <c r="I82">
        <v>0.43658486285832132</v>
      </c>
      <c r="J82">
        <v>0.42171945701357466</v>
      </c>
      <c r="K82">
        <v>0.40412607449856736</v>
      </c>
      <c r="L82">
        <v>0.38948081264108353</v>
      </c>
      <c r="M82">
        <v>0.37918486171761279</v>
      </c>
      <c r="N82">
        <v>0.36849925705794945</v>
      </c>
      <c r="O82">
        <v>0.35969637610186095</v>
      </c>
      <c r="P82">
        <v>0.35389013681846027</v>
      </c>
      <c r="Q82">
        <v>0.35053319573443409</v>
      </c>
      <c r="R82">
        <v>0.35093302473600463</v>
      </c>
      <c r="S82">
        <v>0.35473220836390307</v>
      </c>
    </row>
    <row r="83" spans="1:19">
      <c r="A83">
        <v>0.47562795324546131</v>
      </c>
      <c r="B83">
        <v>0.56984255147355667</v>
      </c>
      <c r="C83">
        <v>0.56711082222944431</v>
      </c>
      <c r="D83">
        <v>0.54724409448818889</v>
      </c>
      <c r="E83">
        <v>0.50576581904198692</v>
      </c>
      <c r="F83">
        <v>0.46376433785192911</v>
      </c>
      <c r="G83">
        <v>0.43083205717202661</v>
      </c>
      <c r="H83">
        <v>0.40781010719754973</v>
      </c>
      <c r="I83">
        <v>0.38544029696844712</v>
      </c>
      <c r="J83">
        <v>0.37187028657616888</v>
      </c>
      <c r="K83">
        <v>0.35524355300859595</v>
      </c>
      <c r="L83">
        <v>0.34279909706546274</v>
      </c>
      <c r="M83">
        <v>0.33304221251819505</v>
      </c>
      <c r="N83">
        <v>0.32332838038632988</v>
      </c>
      <c r="O83">
        <v>0.31513222331047991</v>
      </c>
      <c r="P83">
        <v>0.30978149887686335</v>
      </c>
      <c r="Q83">
        <v>0.30650154798761609</v>
      </c>
      <c r="R83">
        <v>0.30724721539129179</v>
      </c>
      <c r="S83">
        <v>0.31083394472976272</v>
      </c>
    </row>
    <row r="84" spans="1:19">
      <c r="A84">
        <v>0.41706043272817706</v>
      </c>
      <c r="B84">
        <v>0.5</v>
      </c>
      <c r="C84">
        <v>0.50048748781280472</v>
      </c>
      <c r="D84">
        <v>0.4803755299818292</v>
      </c>
      <c r="E84">
        <v>0.44160260201064455</v>
      </c>
      <c r="F84">
        <v>0.40448383733055265</v>
      </c>
      <c r="G84">
        <v>0.37519142419601836</v>
      </c>
      <c r="H84">
        <v>0.35497702909647777</v>
      </c>
      <c r="I84">
        <v>0.33439884512270568</v>
      </c>
      <c r="J84">
        <v>0.32217194570135749</v>
      </c>
      <c r="K84">
        <v>0.30687679083094554</v>
      </c>
      <c r="L84">
        <v>0.29467268623024828</v>
      </c>
      <c r="M84">
        <v>0.28591703056768553</v>
      </c>
      <c r="N84">
        <v>0.27705794947994056</v>
      </c>
      <c r="O84">
        <v>0.26958863858961807</v>
      </c>
      <c r="P84">
        <v>0.26465182764958139</v>
      </c>
      <c r="Q84">
        <v>0.26195390436876503</v>
      </c>
      <c r="R84">
        <v>0.26211485606827717</v>
      </c>
      <c r="S84">
        <v>0.26559060895084374</v>
      </c>
    </row>
    <row r="85" spans="1:19">
      <c r="A85">
        <v>0.35277294205421533</v>
      </c>
      <c r="B85">
        <v>0.45236172789664919</v>
      </c>
      <c r="C85">
        <v>0.449788755281118</v>
      </c>
      <c r="D85">
        <v>0.42834645669291338</v>
      </c>
      <c r="E85">
        <v>0.39281490242460082</v>
      </c>
      <c r="F85">
        <v>0.35844629822732016</v>
      </c>
      <c r="G85">
        <v>0.33129147524247066</v>
      </c>
      <c r="H85">
        <v>0.31255742725880553</v>
      </c>
      <c r="I85">
        <v>0.29335945555784698</v>
      </c>
      <c r="J85">
        <v>0.28129713423831071</v>
      </c>
      <c r="K85">
        <v>0.26733524355300858</v>
      </c>
      <c r="L85">
        <v>0.25620767494356661</v>
      </c>
      <c r="M85">
        <v>0.24814410480349341</v>
      </c>
      <c r="N85">
        <v>0.23973254086181275</v>
      </c>
      <c r="O85">
        <v>0.23308031341821744</v>
      </c>
      <c r="P85">
        <v>0.2289156626506024</v>
      </c>
      <c r="Q85">
        <v>0.2260061919504644</v>
      </c>
      <c r="R85">
        <v>0.22652972660205409</v>
      </c>
      <c r="S85">
        <v>0.22976277818537538</v>
      </c>
    </row>
    <row r="86" spans="1:19">
      <c r="A86">
        <v>0.34978860979855753</v>
      </c>
      <c r="B86">
        <v>0.40028259991925713</v>
      </c>
      <c r="C86">
        <v>0.40493987650308744</v>
      </c>
      <c r="D86">
        <v>0.3847970926711084</v>
      </c>
      <c r="E86">
        <v>0.35171496156120635</v>
      </c>
      <c r="F86">
        <v>0.31960375391032325</v>
      </c>
      <c r="G86">
        <v>0.29428279734558449</v>
      </c>
      <c r="H86">
        <v>0.27641653905053598</v>
      </c>
      <c r="I86">
        <v>0.25778511033202722</v>
      </c>
      <c r="J86">
        <v>0.24751131221719455</v>
      </c>
      <c r="K86">
        <v>0.23386819484240687</v>
      </c>
      <c r="L86">
        <v>0.22388261851015803</v>
      </c>
      <c r="M86">
        <v>0.21622998544395922</v>
      </c>
      <c r="N86">
        <v>0.20900445765230311</v>
      </c>
      <c r="O86">
        <v>0.20308521057786486</v>
      </c>
      <c r="P86">
        <v>0.19946906269144374</v>
      </c>
      <c r="Q86">
        <v>0.19711042311661506</v>
      </c>
      <c r="R86">
        <v>0.19788803703167945</v>
      </c>
      <c r="S86">
        <v>0.20078258742968938</v>
      </c>
    </row>
    <row r="87" spans="1:19">
      <c r="A87">
        <v>0.27965680179059932</v>
      </c>
      <c r="B87">
        <v>0.35547032700847797</v>
      </c>
      <c r="C87">
        <v>0.36431589210269744</v>
      </c>
      <c r="D87">
        <v>0.34463961235614776</v>
      </c>
      <c r="E87">
        <v>0.3146067415730337</v>
      </c>
      <c r="F87">
        <v>0.28441084462982275</v>
      </c>
      <c r="G87">
        <v>0.26033690658499231</v>
      </c>
      <c r="H87">
        <v>0.2433384379785605</v>
      </c>
      <c r="I87">
        <v>0.22612909878325427</v>
      </c>
      <c r="J87">
        <v>0.21613876319758674</v>
      </c>
      <c r="K87">
        <v>0.20406876790830947</v>
      </c>
      <c r="L87">
        <v>0.19503386004514675</v>
      </c>
      <c r="M87">
        <v>0.18853711790393013</v>
      </c>
      <c r="N87">
        <v>0.18222882615156016</v>
      </c>
      <c r="O87">
        <v>0.1773751224289912</v>
      </c>
      <c r="P87">
        <v>0.17433122319787625</v>
      </c>
      <c r="Q87">
        <v>0.17251461988304093</v>
      </c>
      <c r="R87">
        <v>0.17373065239404023</v>
      </c>
      <c r="S87">
        <v>0.17657128882367323</v>
      </c>
    </row>
    <row r="88" spans="1:19">
      <c r="A88">
        <v>0.23091270828152199</v>
      </c>
      <c r="B88">
        <v>0.31772305207912799</v>
      </c>
      <c r="C88">
        <v>0.32339941501462466</v>
      </c>
      <c r="D88">
        <v>0.30442156268927922</v>
      </c>
      <c r="E88">
        <v>0.27646363098758131</v>
      </c>
      <c r="F88">
        <v>0.24874869655891554</v>
      </c>
      <c r="G88">
        <v>0.22690148034711591</v>
      </c>
      <c r="H88">
        <v>0.21071975497702908</v>
      </c>
      <c r="I88">
        <v>0.19540111363167664</v>
      </c>
      <c r="J88">
        <v>0.18650075414781295</v>
      </c>
      <c r="K88">
        <v>0.17581661891117478</v>
      </c>
      <c r="L88">
        <v>0.16803611738148985</v>
      </c>
      <c r="M88">
        <v>0.16229985443959241</v>
      </c>
      <c r="N88">
        <v>0.15738484398216937</v>
      </c>
      <c r="O88">
        <v>0.15330558276199804</v>
      </c>
      <c r="P88">
        <v>0.15078619562997753</v>
      </c>
      <c r="Q88">
        <v>0.14965600275197799</v>
      </c>
      <c r="R88">
        <v>0.15087516273687254</v>
      </c>
      <c r="S88">
        <v>0.15382734164832476</v>
      </c>
    </row>
    <row r="89" spans="1:19">
      <c r="A89">
        <v>0.21213628450634167</v>
      </c>
      <c r="B89">
        <v>0.27270892208316511</v>
      </c>
      <c r="C89">
        <v>0.28267793305167371</v>
      </c>
      <c r="D89">
        <v>0.26565717746820111</v>
      </c>
      <c r="E89">
        <v>0.24039030159668834</v>
      </c>
      <c r="F89">
        <v>0.21475495307612094</v>
      </c>
      <c r="G89">
        <v>0.19451250638080655</v>
      </c>
      <c r="H89">
        <v>0.1802450229709035</v>
      </c>
      <c r="I89">
        <v>0.16704475149515366</v>
      </c>
      <c r="J89">
        <v>0.15920060331825037</v>
      </c>
      <c r="K89">
        <v>0.1498567335243553</v>
      </c>
      <c r="L89">
        <v>0.14320541760722347</v>
      </c>
      <c r="M89">
        <v>0.13875545851528381</v>
      </c>
      <c r="N89">
        <v>0.13485884101040119</v>
      </c>
      <c r="O89">
        <v>0.13139079333986289</v>
      </c>
      <c r="P89">
        <v>0.12952828262201346</v>
      </c>
      <c r="Q89">
        <v>0.1287237702098383</v>
      </c>
      <c r="R89">
        <v>0.13003037754954433</v>
      </c>
      <c r="S89">
        <v>0.13267302518953286</v>
      </c>
    </row>
    <row r="90" spans="1:19">
      <c r="A90">
        <v>0.15307137527978115</v>
      </c>
      <c r="B90">
        <v>0.23112636253532501</v>
      </c>
      <c r="C90">
        <v>0.24377640558986025</v>
      </c>
      <c r="D90">
        <v>0.22731677771047848</v>
      </c>
      <c r="E90">
        <v>0.20402128917800116</v>
      </c>
      <c r="F90">
        <v>0.18133472367049008</v>
      </c>
      <c r="G90">
        <v>0.16350178662582954</v>
      </c>
      <c r="H90">
        <v>0.15153139356814702</v>
      </c>
      <c r="I90">
        <v>0.14023510002062281</v>
      </c>
      <c r="J90">
        <v>0.1334841628959276</v>
      </c>
      <c r="K90">
        <v>0.12590257879656161</v>
      </c>
      <c r="L90">
        <v>0.12036117381489843</v>
      </c>
      <c r="M90">
        <v>0.11684861717612809</v>
      </c>
      <c r="N90">
        <v>0.11369985141158989</v>
      </c>
      <c r="O90">
        <v>0.11096963761018611</v>
      </c>
      <c r="P90">
        <v>0.10937308556258933</v>
      </c>
      <c r="Q90">
        <v>0.1086859305125559</v>
      </c>
      <c r="R90">
        <v>0.11012584984811224</v>
      </c>
      <c r="S90">
        <v>0.11241134751773049</v>
      </c>
    </row>
    <row r="91" spans="1:19">
      <c r="A91">
        <v>9.307386222332753E-2</v>
      </c>
      <c r="B91">
        <v>0.20367379895034315</v>
      </c>
      <c r="C91">
        <v>0.21199220019499512</v>
      </c>
      <c r="D91">
        <v>0.19757722592368263</v>
      </c>
      <c r="E91">
        <v>0.17681845062093435</v>
      </c>
      <c r="F91">
        <v>0.1562043795620438</v>
      </c>
      <c r="G91">
        <v>0.14081163859111792</v>
      </c>
      <c r="H91">
        <v>0.13071975497702909</v>
      </c>
      <c r="I91">
        <v>0.12074654567952155</v>
      </c>
      <c r="J91">
        <v>0.11478129713423831</v>
      </c>
      <c r="K91">
        <v>0.10859598853868194</v>
      </c>
      <c r="L91">
        <v>0.10406320541760723</v>
      </c>
      <c r="M91">
        <v>0.10087336244541484</v>
      </c>
      <c r="N91">
        <v>9.8335809806835067E-2</v>
      </c>
      <c r="O91">
        <v>9.6106758080313437E-2</v>
      </c>
      <c r="P91">
        <v>9.4792730243005913E-2</v>
      </c>
      <c r="Q91">
        <v>9.4083247334021333E-2</v>
      </c>
      <c r="R91">
        <v>9.5226385071604219E-2</v>
      </c>
      <c r="S91">
        <v>9.7199804353142572E-2</v>
      </c>
    </row>
    <row r="92" spans="1:19">
      <c r="A92">
        <v>0.12782889828400895</v>
      </c>
      <c r="B92">
        <v>0.18050060557125552</v>
      </c>
      <c r="C92">
        <v>0.18758531036724085</v>
      </c>
      <c r="D92">
        <v>0.17292549969715323</v>
      </c>
      <c r="E92">
        <v>0.1543465405085748</v>
      </c>
      <c r="F92">
        <v>0.13566214807090721</v>
      </c>
      <c r="G92">
        <v>0.12235834609494642</v>
      </c>
      <c r="H92">
        <v>0.11378254211332313</v>
      </c>
      <c r="I92">
        <v>0.10548566714786554</v>
      </c>
      <c r="J92">
        <v>9.9999999999999992E-2</v>
      </c>
      <c r="K92">
        <v>9.4555873925501438E-2</v>
      </c>
      <c r="L92">
        <v>9.119638826185103E-2</v>
      </c>
      <c r="M92">
        <v>8.8282387190684125E-2</v>
      </c>
      <c r="N92">
        <v>8.6210995542347693E-2</v>
      </c>
      <c r="O92">
        <v>8.4108716944172393E-2</v>
      </c>
      <c r="P92">
        <v>8.284664080049009E-2</v>
      </c>
      <c r="Q92">
        <v>8.2318541451668392E-2</v>
      </c>
      <c r="R92">
        <v>8.3089830753652533E-2</v>
      </c>
      <c r="S92">
        <v>8.4947419907067737E-2</v>
      </c>
    </row>
    <row r="93" spans="1:19">
      <c r="A93">
        <v>0.12188510320815717</v>
      </c>
      <c r="B93">
        <v>0.15833669761808639</v>
      </c>
      <c r="C93">
        <v>0.16418589535261621</v>
      </c>
      <c r="D93">
        <v>0.15142337976983647</v>
      </c>
      <c r="E93">
        <v>0.13487581312832642</v>
      </c>
      <c r="F93">
        <v>0.1183524504692388</v>
      </c>
      <c r="G93">
        <v>0.10691679428279734</v>
      </c>
      <c r="H93">
        <v>9.9173047473200604E-2</v>
      </c>
      <c r="I93">
        <v>9.2307692307692313E-2</v>
      </c>
      <c r="J93">
        <v>8.7330316742081443E-2</v>
      </c>
      <c r="K93">
        <v>8.2808022922636088E-2</v>
      </c>
      <c r="L93">
        <v>0.08</v>
      </c>
      <c r="M93">
        <v>7.7474526928675402E-2</v>
      </c>
      <c r="N93">
        <v>7.5572065378900447E-2</v>
      </c>
      <c r="O93">
        <v>7.3604309500489712E-2</v>
      </c>
      <c r="P93">
        <v>7.2615887277925256E-2</v>
      </c>
      <c r="Q93">
        <v>7.2033023735810109E-2</v>
      </c>
      <c r="R93">
        <v>7.2689136409662944E-2</v>
      </c>
      <c r="S93">
        <v>7.4370261677671787E-2</v>
      </c>
    </row>
    <row r="94" spans="1:19">
      <c r="A94">
        <v>0.10897786620243718</v>
      </c>
      <c r="B94">
        <v>0.14265240209931368</v>
      </c>
      <c r="C94">
        <v>0.14338641533961652</v>
      </c>
      <c r="D94">
        <v>0.13167777104784981</v>
      </c>
      <c r="E94">
        <v>0.11734180958013009</v>
      </c>
      <c r="F94">
        <v>0.10333680917622524</v>
      </c>
      <c r="G94">
        <v>9.2930066360387947E-2</v>
      </c>
      <c r="H94">
        <v>8.6125574272588046E-2</v>
      </c>
      <c r="I94">
        <v>8.0645493916271405E-2</v>
      </c>
      <c r="J94">
        <v>7.5942684766214172E-2</v>
      </c>
      <c r="K94">
        <v>7.2550143266475631E-2</v>
      </c>
      <c r="L94">
        <v>6.9525959367945825E-2</v>
      </c>
      <c r="M94">
        <v>6.7576419213973796E-2</v>
      </c>
      <c r="N94">
        <v>6.5854383358098068E-2</v>
      </c>
      <c r="O94">
        <v>6.4103819784524979E-2</v>
      </c>
      <c r="P94">
        <v>6.3263222381049616E-2</v>
      </c>
      <c r="Q94">
        <v>6.2831097351221193E-2</v>
      </c>
      <c r="R94">
        <v>6.3272096050918561E-2</v>
      </c>
      <c r="S94">
        <v>6.4856933235509895E-2</v>
      </c>
    </row>
    <row r="95" spans="1:19">
      <c r="A95">
        <v>9.7202188510320808E-2</v>
      </c>
      <c r="B95">
        <v>0.12472749293500203</v>
      </c>
      <c r="C95">
        <v>0.12427689307767308</v>
      </c>
      <c r="D95">
        <v>0.11435493640218049</v>
      </c>
      <c r="E95">
        <v>0.1017445298639858</v>
      </c>
      <c r="F95">
        <v>8.9207507820646514E-2</v>
      </c>
      <c r="G95">
        <v>8.0704441041347635E-2</v>
      </c>
      <c r="H95">
        <v>7.486983154670751E-2</v>
      </c>
      <c r="I95">
        <v>7.0024747370591875E-2</v>
      </c>
      <c r="J95">
        <v>6.6161387631975863E-2</v>
      </c>
      <c r="K95">
        <v>6.2922636103151852E-2</v>
      </c>
      <c r="L95">
        <v>6.0180586907449214E-2</v>
      </c>
      <c r="M95">
        <v>5.8333333333333327E-2</v>
      </c>
      <c r="N95">
        <v>5.6820208023774146E-2</v>
      </c>
      <c r="O95">
        <v>5.5239960822722825E-2</v>
      </c>
      <c r="P95">
        <v>5.4706963447008372E-2</v>
      </c>
      <c r="Q95">
        <v>5.3990368077055387E-2</v>
      </c>
      <c r="R95">
        <v>5.460726168089107E-2</v>
      </c>
      <c r="S95">
        <v>5.6016140865737342E-2</v>
      </c>
    </row>
    <row r="96" spans="1:19">
      <c r="A96">
        <v>0.15319572245710023</v>
      </c>
      <c r="B96">
        <v>0.1115260395639887</v>
      </c>
      <c r="C96">
        <v>0.10672733181670459</v>
      </c>
      <c r="D96">
        <v>9.763779527559055E-2</v>
      </c>
      <c r="E96">
        <v>8.6827321111768177E-2</v>
      </c>
      <c r="F96">
        <v>7.6016684045881119E-2</v>
      </c>
      <c r="G96">
        <v>6.8708524757529352E-2</v>
      </c>
      <c r="H96">
        <v>6.3782542113323126E-2</v>
      </c>
      <c r="I96">
        <v>6.0012373685295939E-2</v>
      </c>
      <c r="J96">
        <v>5.5761689291101056E-2</v>
      </c>
      <c r="K96">
        <v>5.3111747851002859E-2</v>
      </c>
      <c r="L96">
        <v>5.1331828442437923E-2</v>
      </c>
      <c r="M96">
        <v>4.9781659388646288E-2</v>
      </c>
      <c r="N96">
        <v>4.8261515601783052E-2</v>
      </c>
      <c r="O96">
        <v>4.6743388834476006E-2</v>
      </c>
      <c r="P96">
        <v>4.6457014498672657E-2</v>
      </c>
      <c r="Q96">
        <v>4.57172342621259E-2</v>
      </c>
      <c r="R96">
        <v>4.620280630695791E-2</v>
      </c>
      <c r="S96">
        <v>4.7395451210564925E-2</v>
      </c>
    </row>
    <row r="97" spans="1:19">
      <c r="A97">
        <v>0.1364088535190251</v>
      </c>
      <c r="B97">
        <v>0.10036334275333064</v>
      </c>
      <c r="C97">
        <v>9.216769580760481E-2</v>
      </c>
      <c r="D97">
        <v>8.5523924894003636E-2</v>
      </c>
      <c r="E97">
        <v>7.6138379657007677E-2</v>
      </c>
      <c r="F97">
        <v>6.6371220020855062E-2</v>
      </c>
      <c r="G97">
        <v>6.0464522715671265E-2</v>
      </c>
      <c r="H97">
        <v>5.5650842266462476E-2</v>
      </c>
      <c r="I97">
        <v>5.2856259022478862E-2</v>
      </c>
      <c r="J97">
        <v>4.8552036199095025E-2</v>
      </c>
      <c r="K97">
        <v>4.6171919770773638E-2</v>
      </c>
      <c r="L97">
        <v>4.4139954853273142E-2</v>
      </c>
      <c r="M97">
        <v>4.2831149927219793E-2</v>
      </c>
      <c r="N97">
        <v>4.1396731054977709E-2</v>
      </c>
      <c r="O97">
        <v>4.0401567091087172E-2</v>
      </c>
      <c r="P97">
        <v>4.0147028793138653E-2</v>
      </c>
      <c r="Q97">
        <v>3.9473684210526314E-2</v>
      </c>
      <c r="R97">
        <v>3.9924779401128312E-2</v>
      </c>
      <c r="S97">
        <v>4.1049156272927365E-2</v>
      </c>
    </row>
    <row r="98" spans="1:19">
      <c r="A98">
        <v>0.15655309624471522</v>
      </c>
      <c r="B98">
        <v>9.3116673395236174E-2</v>
      </c>
      <c r="C98">
        <v>7.9200519987000326E-2</v>
      </c>
      <c r="D98">
        <v>7.4560872198667485E-2</v>
      </c>
      <c r="E98">
        <v>6.6011235955056174E-2</v>
      </c>
      <c r="F98">
        <v>5.8185610010427526E-2</v>
      </c>
      <c r="G98">
        <v>5.2679938744257276E-2</v>
      </c>
      <c r="H98">
        <v>4.8147013782542117E-2</v>
      </c>
      <c r="I98">
        <v>4.5617653124355541E-2</v>
      </c>
      <c r="J98">
        <v>4.1613876319758672E-2</v>
      </c>
      <c r="K98">
        <v>3.9885386819484232E-2</v>
      </c>
      <c r="L98">
        <v>3.8257336343115123E-2</v>
      </c>
      <c r="M98">
        <v>3.6826783114992719E-2</v>
      </c>
      <c r="N98">
        <v>3.5898959881129268E-2</v>
      </c>
      <c r="O98">
        <v>3.4794319294809015E-2</v>
      </c>
      <c r="P98">
        <v>3.4613028384725346E-2</v>
      </c>
      <c r="Q98">
        <v>3.4193326453388372E-2</v>
      </c>
      <c r="R98">
        <v>3.4529147982062781E-2</v>
      </c>
      <c r="S98">
        <v>3.5509904622157001E-2</v>
      </c>
    </row>
    <row r="99" spans="1:19">
      <c r="A99">
        <v>0.18117383735389206</v>
      </c>
      <c r="B99">
        <v>8.6798546628986686E-2</v>
      </c>
      <c r="C99">
        <v>6.9840753981150472E-2</v>
      </c>
      <c r="D99">
        <v>6.4990914597213803E-2</v>
      </c>
      <c r="E99">
        <v>5.7392075694855112E-2</v>
      </c>
      <c r="F99">
        <v>5.0307612095933263E-2</v>
      </c>
      <c r="G99">
        <v>4.5916283818274631E-2</v>
      </c>
      <c r="H99">
        <v>4.122511485451761E-2</v>
      </c>
      <c r="I99">
        <v>3.9224582388121258E-2</v>
      </c>
      <c r="J99">
        <v>3.6229260935143288E-2</v>
      </c>
      <c r="K99">
        <v>3.4194842406876792E-2</v>
      </c>
      <c r="L99">
        <v>3.3042889390519192E-2</v>
      </c>
      <c r="M99">
        <v>3.1877729257641915E-2</v>
      </c>
      <c r="N99">
        <v>3.0876671619613671E-2</v>
      </c>
      <c r="O99">
        <v>2.9970617042115573E-2</v>
      </c>
      <c r="P99">
        <v>2.9875433939146417E-2</v>
      </c>
      <c r="Q99">
        <v>2.9446164430684554E-2</v>
      </c>
      <c r="R99">
        <v>2.9900188051497176E-2</v>
      </c>
      <c r="S99">
        <v>3.0802152115431643E-2</v>
      </c>
    </row>
    <row r="100" spans="1:19">
      <c r="A100">
        <v>0.124595871673713</v>
      </c>
      <c r="B100">
        <v>7.8199434800161477E-2</v>
      </c>
      <c r="C100">
        <v>6.0968475788105304E-2</v>
      </c>
      <c r="D100">
        <v>5.7437916414294368E-2</v>
      </c>
      <c r="E100">
        <v>4.9866942637492605E-2</v>
      </c>
      <c r="F100">
        <v>4.3972888425443175E-2</v>
      </c>
      <c r="G100">
        <v>4.0045941807044412E-2</v>
      </c>
      <c r="H100">
        <v>3.5344563552833073E-2</v>
      </c>
      <c r="I100">
        <v>3.4543204784491653E-2</v>
      </c>
      <c r="J100">
        <v>3.1455505279034686E-2</v>
      </c>
      <c r="K100">
        <v>2.971919770773639E-2</v>
      </c>
      <c r="L100">
        <v>2.8329571106094811E-2</v>
      </c>
      <c r="M100">
        <v>2.7070596797671029E-2</v>
      </c>
      <c r="N100">
        <v>2.6499257057949477E-2</v>
      </c>
      <c r="O100">
        <v>2.5734573947110678E-2</v>
      </c>
      <c r="P100">
        <v>2.5627935470696344E-2</v>
      </c>
      <c r="Q100">
        <v>2.5318197454420363E-2</v>
      </c>
      <c r="R100">
        <v>2.571965861420512E-2</v>
      </c>
      <c r="S100">
        <v>2.6705796038151135E-2</v>
      </c>
    </row>
    <row r="101" spans="1:19">
      <c r="A101">
        <v>0.13578711763242973</v>
      </c>
      <c r="B101">
        <v>6.8106580540976985E-2</v>
      </c>
      <c r="C101">
        <v>5.1543711407214823E-2</v>
      </c>
      <c r="D101">
        <v>4.8958207147183519E-2</v>
      </c>
      <c r="E101">
        <v>4.1735659373151976E-2</v>
      </c>
      <c r="F101">
        <v>3.7356621480709076E-2</v>
      </c>
      <c r="G101">
        <v>3.3767228177641655E-2</v>
      </c>
      <c r="H101">
        <v>3.0214395099540582E-2</v>
      </c>
      <c r="I101">
        <v>2.9346256960197978E-2</v>
      </c>
      <c r="J101">
        <v>2.6199095022624432E-2</v>
      </c>
      <c r="K101">
        <v>2.4641833810888247E-2</v>
      </c>
      <c r="L101">
        <v>2.436568848758465E-2</v>
      </c>
      <c r="M101">
        <v>2.3085880640465791E-2</v>
      </c>
      <c r="N101">
        <v>2.2469539375928674E-2</v>
      </c>
      <c r="O101">
        <v>2.1753183153770814E-2</v>
      </c>
      <c r="P101">
        <v>2.1502960996528486E-2</v>
      </c>
      <c r="Q101">
        <v>2.1465428276573786E-2</v>
      </c>
      <c r="R101">
        <v>2.1857370172139449E-2</v>
      </c>
      <c r="S101">
        <v>2.2731719246759596E-2</v>
      </c>
    </row>
    <row r="102" spans="1:19">
      <c r="A102">
        <v>0.12121362845063417</v>
      </c>
      <c r="B102">
        <v>6.059749697214372E-2</v>
      </c>
      <c r="C102">
        <v>4.4296392590185252E-2</v>
      </c>
      <c r="D102">
        <v>4.1429436705027259E-2</v>
      </c>
      <c r="E102">
        <v>3.5644589000591365E-2</v>
      </c>
      <c r="F102">
        <v>3.1741397288842545E-2</v>
      </c>
      <c r="G102">
        <v>2.8790199081163859E-2</v>
      </c>
      <c r="H102">
        <v>2.5145482388973968E-2</v>
      </c>
      <c r="I102">
        <v>2.4603010930088678E-2</v>
      </c>
      <c r="J102">
        <v>2.2315233785822022E-2</v>
      </c>
      <c r="K102">
        <v>2.1117478510028653E-2</v>
      </c>
      <c r="L102">
        <v>2.0979683972911965E-2</v>
      </c>
      <c r="M102">
        <v>1.972707423580786E-2</v>
      </c>
      <c r="N102">
        <v>1.8882615156017829E-2</v>
      </c>
      <c r="O102">
        <v>1.830313418217434E-2</v>
      </c>
      <c r="P102">
        <v>1.830100061261997E-2</v>
      </c>
      <c r="Q102">
        <v>1.8300653594771239E-2</v>
      </c>
      <c r="R102">
        <v>1.8660494720092579E-2</v>
      </c>
      <c r="S102">
        <v>1.9466862313524087E-2</v>
      </c>
    </row>
    <row r="103" spans="1:19">
      <c r="A103">
        <v>0.11432479482715742</v>
      </c>
      <c r="B103">
        <v>5.569236980218005E-2</v>
      </c>
      <c r="C103">
        <v>3.7796555086122847E-2</v>
      </c>
      <c r="D103">
        <v>3.637795275590551E-2</v>
      </c>
      <c r="E103">
        <v>3.0558840922531041E-2</v>
      </c>
      <c r="F103">
        <v>2.7090719499478624E-2</v>
      </c>
      <c r="G103">
        <v>2.4538029606942315E-2</v>
      </c>
      <c r="H103">
        <v>2.128637059724349E-2</v>
      </c>
      <c r="I103">
        <v>2.1385852753144981E-2</v>
      </c>
      <c r="J103">
        <v>1.9223227752639516E-2</v>
      </c>
      <c r="K103">
        <v>1.8040114613180516E-2</v>
      </c>
      <c r="L103">
        <v>1.7693002257336346E-2</v>
      </c>
      <c r="M103">
        <v>1.685589519650655E-2</v>
      </c>
      <c r="N103">
        <v>1.6323922734026743E-2</v>
      </c>
      <c r="O103">
        <v>1.5702742409402549E-2</v>
      </c>
      <c r="P103">
        <v>1.5656524402695528E-2</v>
      </c>
      <c r="Q103">
        <v>1.5712074303405571E-2</v>
      </c>
      <c r="R103">
        <v>1.6056704759149429E-2</v>
      </c>
      <c r="S103">
        <v>1.6703350452433357E-2</v>
      </c>
    </row>
    <row r="104" spans="1:19">
      <c r="A104">
        <v>0.12496891320567023</v>
      </c>
      <c r="B104">
        <v>5.1513928138877674E-2</v>
      </c>
      <c r="C104">
        <v>3.2661683457913551E-2</v>
      </c>
      <c r="D104">
        <v>3.1629315566323438E-2</v>
      </c>
      <c r="E104">
        <v>2.5813128326434058E-2</v>
      </c>
      <c r="F104">
        <v>2.3373305526590199E-2</v>
      </c>
      <c r="G104">
        <v>2.1115364982133743E-2</v>
      </c>
      <c r="H104">
        <v>1.7871362940275651E-2</v>
      </c>
      <c r="I104">
        <v>1.8704887605691896E-2</v>
      </c>
      <c r="J104">
        <v>1.6176470588235292E-2</v>
      </c>
      <c r="K104">
        <v>1.5025787965616044E-2</v>
      </c>
      <c r="L104">
        <v>1.5327313769751695E-2</v>
      </c>
      <c r="M104">
        <v>1.4679767103347889E-2</v>
      </c>
      <c r="N104">
        <v>1.4196136701337295E-2</v>
      </c>
      <c r="O104">
        <v>1.3440254652301666E-2</v>
      </c>
      <c r="P104">
        <v>1.3299979579334284E-2</v>
      </c>
      <c r="Q104">
        <v>1.3477812177502579E-2</v>
      </c>
      <c r="R104">
        <v>1.3765369593519455E-2</v>
      </c>
      <c r="S104">
        <v>1.4490095377842991E-2</v>
      </c>
    </row>
    <row r="105" spans="1:19">
      <c r="A105">
        <v>0.12158666998259139</v>
      </c>
      <c r="B105">
        <v>4.876867178037949E-2</v>
      </c>
      <c r="C105">
        <v>2.6701332466688335E-2</v>
      </c>
      <c r="D105">
        <v>2.7274379164142944E-2</v>
      </c>
      <c r="E105">
        <v>2.1703134240094617E-2</v>
      </c>
      <c r="F105">
        <v>1.9739311783107404E-2</v>
      </c>
      <c r="G105">
        <v>1.8494129657988769E-2</v>
      </c>
      <c r="H105">
        <v>1.4877488514548239E-2</v>
      </c>
      <c r="I105">
        <v>1.5724891730253661E-2</v>
      </c>
      <c r="J105">
        <v>1.3914027149321268E-2</v>
      </c>
      <c r="K105">
        <v>1.2624641833810887E-2</v>
      </c>
      <c r="L105">
        <v>1.3056433408577879E-2</v>
      </c>
      <c r="M105">
        <v>1.2481804949053855E-2</v>
      </c>
      <c r="N105">
        <v>1.188112927191679E-2</v>
      </c>
      <c r="O105">
        <v>1.1559745347698337E-2</v>
      </c>
      <c r="P105">
        <v>1.1560138860526852E-2</v>
      </c>
      <c r="Q105">
        <v>1.1570347437220501E-2</v>
      </c>
      <c r="R105">
        <v>1.1939823520902648E-2</v>
      </c>
      <c r="S105">
        <v>1.2423575446319392E-2</v>
      </c>
    </row>
    <row r="106" spans="1:19">
      <c r="A106">
        <v>0.12394926635165381</v>
      </c>
      <c r="B106">
        <v>4.9616471538150984E-2</v>
      </c>
      <c r="C106">
        <v>2.2372440688982777E-2</v>
      </c>
      <c r="D106">
        <v>2.3834039975772259E-2</v>
      </c>
      <c r="E106">
        <v>1.8568894145476047E-2</v>
      </c>
      <c r="F106">
        <v>1.6449426485922836E-2</v>
      </c>
      <c r="G106">
        <v>1.5684022460439002E-2</v>
      </c>
      <c r="H106">
        <v>1.2781010719754975E-2</v>
      </c>
      <c r="I106">
        <v>1.3322334501959167E-2</v>
      </c>
      <c r="J106">
        <v>1.2058823529411764E-2</v>
      </c>
      <c r="K106">
        <v>1.0819484240687679E-2</v>
      </c>
      <c r="L106">
        <v>1.0857787810383747E-2</v>
      </c>
      <c r="M106">
        <v>1.0534934497816593E-2</v>
      </c>
      <c r="N106">
        <v>1.0205052005943537E-2</v>
      </c>
      <c r="O106">
        <v>9.6180215475024505E-3</v>
      </c>
      <c r="P106">
        <v>9.7284051460077604E-3</v>
      </c>
      <c r="Q106">
        <v>9.8348813209494321E-3</v>
      </c>
      <c r="R106">
        <v>1.00014465499783E-2</v>
      </c>
      <c r="S106">
        <v>1.0591831743702616E-2</v>
      </c>
    </row>
    <row r="107" spans="1:19">
      <c r="A107">
        <v>0.12745585675205173</v>
      </c>
      <c r="B107">
        <v>4.0916431166733956E-2</v>
      </c>
      <c r="C107">
        <v>1.9873253168670783E-2</v>
      </c>
      <c r="D107">
        <v>1.9794064203513019E-2</v>
      </c>
      <c r="E107">
        <v>1.5493790656416323E-2</v>
      </c>
      <c r="F107">
        <v>1.3717413972888426E-2</v>
      </c>
      <c r="G107">
        <v>1.2649310872894335E-2</v>
      </c>
      <c r="H107">
        <v>1.0928024502297089E-2</v>
      </c>
      <c r="I107">
        <v>1.1198185192823262E-2</v>
      </c>
      <c r="J107">
        <v>9.6681749622926083E-3</v>
      </c>
      <c r="K107">
        <v>9.1289398280802285E-3</v>
      </c>
      <c r="L107">
        <v>8.961625282167044E-3</v>
      </c>
      <c r="M107">
        <v>8.5589519650655019E-3</v>
      </c>
      <c r="N107">
        <v>8.3239227340267449E-3</v>
      </c>
      <c r="O107">
        <v>8.3447600391772774E-3</v>
      </c>
      <c r="P107">
        <v>8.0171533591995095E-3</v>
      </c>
      <c r="Q107">
        <v>8.3212934296525622E-3</v>
      </c>
      <c r="R107">
        <v>8.4565311731520324E-3</v>
      </c>
      <c r="S107">
        <v>9.0364392271949107E-3</v>
      </c>
    </row>
    <row r="108" spans="1:19">
      <c r="A108">
        <v>0.15419049987565281</v>
      </c>
      <c r="B108">
        <v>3.7343560758982638E-2</v>
      </c>
      <c r="C108">
        <v>1.745206369840754E-2</v>
      </c>
      <c r="D108">
        <v>1.7153240460327075E-2</v>
      </c>
      <c r="E108">
        <v>1.3252513305736249E-2</v>
      </c>
      <c r="F108">
        <v>1.2309697601668404E-2</v>
      </c>
      <c r="G108">
        <v>1.1521184277692701E-2</v>
      </c>
      <c r="H108">
        <v>8.695252679938743E-3</v>
      </c>
      <c r="I108">
        <v>9.5009280263971957E-3</v>
      </c>
      <c r="J108">
        <v>7.9110105580693802E-3</v>
      </c>
      <c r="K108">
        <v>7.667621776504297E-3</v>
      </c>
      <c r="L108">
        <v>7.9187358916478559E-3</v>
      </c>
      <c r="M108">
        <v>7.2925764192139728E-3</v>
      </c>
      <c r="N108">
        <v>7.1530460624071321E-3</v>
      </c>
      <c r="O108">
        <v>7.0861900097943199E-3</v>
      </c>
      <c r="P108">
        <v>6.7061466203798244E-3</v>
      </c>
      <c r="Q108">
        <v>7.0192638458892323E-3</v>
      </c>
      <c r="R108">
        <v>7.2732532909012002E-3</v>
      </c>
      <c r="S108">
        <v>7.7072633895818041E-3</v>
      </c>
    </row>
    <row r="109" spans="1:19">
      <c r="A109">
        <v>4.3558816214871919E-2</v>
      </c>
      <c r="B109">
        <v>2.9632620104965684E-2</v>
      </c>
      <c r="C109">
        <v>1.5742606434839129E-2</v>
      </c>
      <c r="D109">
        <v>1.4597213809812234E-2</v>
      </c>
      <c r="E109">
        <v>1.042134831460674E-2</v>
      </c>
      <c r="F109">
        <v>1.0563086548488008E-2</v>
      </c>
      <c r="G109">
        <v>9.6911689637570186E-3</v>
      </c>
      <c r="H109">
        <v>7.1010719754977022E-3</v>
      </c>
      <c r="I109">
        <v>8.077954217364406E-3</v>
      </c>
      <c r="J109">
        <v>6.7224736048265461E-3</v>
      </c>
      <c r="K109">
        <v>6.326647564469913E-3</v>
      </c>
      <c r="L109">
        <v>6.2708803611738152E-3</v>
      </c>
      <c r="M109">
        <v>6.3573508005822406E-3</v>
      </c>
      <c r="N109">
        <v>5.8068350668647834E-3</v>
      </c>
      <c r="O109">
        <v>5.8227228207639575E-3</v>
      </c>
      <c r="P109">
        <v>5.7484173984071879E-3</v>
      </c>
      <c r="Q109">
        <v>5.8840729274165799E-3</v>
      </c>
      <c r="R109">
        <v>6.2534355561984657E-3</v>
      </c>
      <c r="S109">
        <v>6.5786255808266076E-3</v>
      </c>
    </row>
    <row r="110" spans="1:19">
      <c r="A110">
        <v>8.6010942551604068E-3</v>
      </c>
      <c r="B110">
        <v>3.7545417844166332E-2</v>
      </c>
      <c r="C110">
        <v>1.2265193370165746E-2</v>
      </c>
      <c r="D110">
        <v>1.2574197456087221E-2</v>
      </c>
      <c r="E110">
        <v>8.1652868125369604E-3</v>
      </c>
      <c r="F110">
        <v>8.7904066736183527E-3</v>
      </c>
      <c r="G110">
        <v>8.6702399183256756E-3</v>
      </c>
      <c r="H110">
        <v>6.0336906584992338E-3</v>
      </c>
      <c r="I110">
        <v>6.4250360899154469E-3</v>
      </c>
      <c r="J110">
        <v>5.5716440422322773E-3</v>
      </c>
      <c r="K110">
        <v>5.6418338108882513E-3</v>
      </c>
      <c r="L110">
        <v>5.2550790067720093E-3</v>
      </c>
      <c r="M110">
        <v>5.3529839883551672E-3</v>
      </c>
      <c r="N110">
        <v>4.7191679049034168E-3</v>
      </c>
      <c r="O110">
        <v>4.6718903036238983E-3</v>
      </c>
      <c r="P110">
        <v>4.8560343067183985E-3</v>
      </c>
      <c r="Q110">
        <v>4.7557619539043685E-3</v>
      </c>
      <c r="R110">
        <v>5.1627368725589463E-3</v>
      </c>
      <c r="S110">
        <v>5.5478112007825873E-3</v>
      </c>
    </row>
    <row r="111" spans="1:19">
      <c r="A111">
        <v>2.3029097239492661E-3</v>
      </c>
      <c r="B111">
        <v>4.0754945498587006E-2</v>
      </c>
      <c r="C111">
        <v>1.1098472538186547E-2</v>
      </c>
      <c r="D111">
        <v>1.0738946093276802E-2</v>
      </c>
      <c r="E111">
        <v>6.8406268480189231E-3</v>
      </c>
      <c r="F111">
        <v>7.1324296141814392E-3</v>
      </c>
      <c r="G111">
        <v>6.7075038284839213E-3</v>
      </c>
      <c r="H111">
        <v>5.3246554364471668E-3</v>
      </c>
      <c r="I111">
        <v>5.1422973809032791E-3</v>
      </c>
      <c r="J111">
        <v>4.5814479638009043E-3</v>
      </c>
      <c r="K111">
        <v>4.8876790830945554E-3</v>
      </c>
      <c r="L111">
        <v>5.0428893905191874E-3</v>
      </c>
      <c r="M111">
        <v>4.3122270742358077E-3</v>
      </c>
      <c r="N111">
        <v>3.8930163447251113E-3</v>
      </c>
      <c r="O111">
        <v>4.2360430950048973E-3</v>
      </c>
      <c r="P111">
        <v>3.9718194813150908E-3</v>
      </c>
      <c r="Q111">
        <v>4.0952872377020989E-3</v>
      </c>
      <c r="R111">
        <v>4.316505135252423E-3</v>
      </c>
      <c r="S111">
        <v>4.7701149425287354E-3</v>
      </c>
    </row>
    <row r="112" spans="1:19">
      <c r="A112">
        <v>1.8154687888584927E-2</v>
      </c>
      <c r="B112">
        <v>2.2143722244650787E-2</v>
      </c>
      <c r="C112">
        <v>7.3383165420864488E-3</v>
      </c>
      <c r="D112">
        <v>9.0187764990914583E-3</v>
      </c>
      <c r="E112">
        <v>5.1493199290360732E-3</v>
      </c>
      <c r="F112">
        <v>5.86548488008342E-3</v>
      </c>
      <c r="G112">
        <v>5.8014293006636037E-3</v>
      </c>
      <c r="H112">
        <v>4.4839203675344566E-3</v>
      </c>
      <c r="I112">
        <v>4.0503196535368116E-3</v>
      </c>
      <c r="J112">
        <v>3.6244343891402714E-3</v>
      </c>
      <c r="K112">
        <v>3.9209169054441259E-3</v>
      </c>
      <c r="L112">
        <v>3.3534988713318286E-3</v>
      </c>
      <c r="M112">
        <v>3.7081513828238714E-3</v>
      </c>
      <c r="N112">
        <v>2.8537890044576524E-3</v>
      </c>
      <c r="O112">
        <v>3.4280117531831542E-3</v>
      </c>
      <c r="P112">
        <v>3.0447212579130076E-3</v>
      </c>
      <c r="Q112">
        <v>3.3746130030959751E-3</v>
      </c>
      <c r="R112">
        <v>3.604802545927962E-3</v>
      </c>
      <c r="S112">
        <v>3.8628026412325747E-3</v>
      </c>
    </row>
    <row r="113" spans="1:19">
      <c r="A113">
        <v>3.2554091022133795E-2</v>
      </c>
      <c r="B113">
        <v>2.5252321356479614E-2</v>
      </c>
      <c r="C113">
        <v>5.6938576535586621E-3</v>
      </c>
      <c r="D113">
        <v>7.7407631738340395E-3</v>
      </c>
      <c r="E113">
        <v>4.1425192193968062E-3</v>
      </c>
      <c r="F113">
        <v>5.2763295099061526E-3</v>
      </c>
      <c r="G113">
        <v>4.7932618683001532E-3</v>
      </c>
      <c r="H113">
        <v>3.3537519142419602E-3</v>
      </c>
      <c r="I113">
        <v>3.1862239637038565E-3</v>
      </c>
      <c r="J113">
        <v>3.1417797888386124E-3</v>
      </c>
      <c r="K113">
        <v>3.3100286532951285E-3</v>
      </c>
      <c r="L113">
        <v>2.6871331828442441E-3</v>
      </c>
      <c r="M113">
        <v>3.2627365356622997E-3</v>
      </c>
      <c r="N113">
        <v>2.3753343239227339E-3</v>
      </c>
      <c r="O113">
        <v>2.6493633692458375E-3</v>
      </c>
      <c r="P113">
        <v>2.5015315499285276E-3</v>
      </c>
      <c r="Q113">
        <v>2.7296181630546952E-3</v>
      </c>
      <c r="R113">
        <v>2.9798929553016057E-3</v>
      </c>
      <c r="S113">
        <v>3.1633651259476642E-3</v>
      </c>
    </row>
    <row r="114" spans="1:19">
      <c r="A114">
        <v>1.6936085550857994E-22</v>
      </c>
      <c r="B114">
        <v>1.2953169156237383E-2</v>
      </c>
      <c r="C114">
        <v>4.5823854403639914E-3</v>
      </c>
      <c r="D114">
        <v>6.5717746820109016E-3</v>
      </c>
      <c r="E114">
        <v>3.3323477232406859E-3</v>
      </c>
      <c r="F114">
        <v>4.5411887382690308E-3</v>
      </c>
      <c r="G114">
        <v>3.818274629913221E-3</v>
      </c>
      <c r="H114">
        <v>2.9494640122511486E-3</v>
      </c>
      <c r="I114">
        <v>2.0210352650030933E-3</v>
      </c>
      <c r="J114">
        <v>2.2088989441930618E-3</v>
      </c>
      <c r="K114">
        <v>2.1214899713467047E-3</v>
      </c>
      <c r="L114">
        <v>1.6406320541760724E-3</v>
      </c>
      <c r="M114">
        <v>2.6721251819505089E-3</v>
      </c>
      <c r="N114">
        <v>1.8074294205052005E-3</v>
      </c>
      <c r="O114">
        <v>2.3986287952987269E-3</v>
      </c>
      <c r="P114">
        <v>2.0412497447416782E-3</v>
      </c>
      <c r="Q114">
        <v>2.1998624011007909E-3</v>
      </c>
      <c r="R114">
        <v>2.3607695645884567E-3</v>
      </c>
      <c r="S114">
        <v>2.5849841036928341E-3</v>
      </c>
    </row>
    <row r="115" spans="1:19">
      <c r="A115">
        <v>1.7296692365083312E-22</v>
      </c>
      <c r="B115">
        <v>6.3342753330641903E-3</v>
      </c>
      <c r="C115">
        <v>1.4605134871628208E-3</v>
      </c>
      <c r="D115">
        <v>5.1278013325257426E-3</v>
      </c>
      <c r="E115">
        <v>3.1519810762862211E-3</v>
      </c>
      <c r="F115">
        <v>3.9223149113660066E-3</v>
      </c>
      <c r="G115">
        <v>2.7845839714139868E-3</v>
      </c>
      <c r="H115">
        <v>2.1225114854517614E-3</v>
      </c>
      <c r="I115">
        <v>9.3575995050525879E-4</v>
      </c>
      <c r="J115">
        <v>1.8989441930618398E-3</v>
      </c>
      <c r="K115">
        <v>1.1283667621776502E-3</v>
      </c>
      <c r="L115">
        <v>1.1602708803611739E-3</v>
      </c>
      <c r="M115">
        <v>2.1026200873362445E-3</v>
      </c>
      <c r="N115">
        <v>1.1408618127786033E-3</v>
      </c>
      <c r="O115">
        <v>2.1562193927522036E-3</v>
      </c>
      <c r="P115">
        <v>1.5942413722687357E-3</v>
      </c>
      <c r="Q115">
        <v>1.6111111111111111E-3</v>
      </c>
      <c r="R115">
        <v>1.8530305222045421E-3</v>
      </c>
      <c r="S115">
        <v>2.101980924431401E-3</v>
      </c>
    </row>
    <row r="116" spans="1:19">
      <c r="A116">
        <v>6.7682168614772442E-2</v>
      </c>
      <c r="B116">
        <v>4.0310859911182884E-3</v>
      </c>
      <c r="C116">
        <v>1.3730906727331819E-3</v>
      </c>
      <c r="D116">
        <v>3.9812235009085402E-3</v>
      </c>
      <c r="E116">
        <v>2.4778237729154344E-3</v>
      </c>
      <c r="F116">
        <v>3.0364963503649632E-3</v>
      </c>
      <c r="G116">
        <v>1.6574783052577845E-3</v>
      </c>
      <c r="H116">
        <v>1.4932618683001532E-3</v>
      </c>
      <c r="I116">
        <v>7.0065992988244997E-4</v>
      </c>
      <c r="J116">
        <v>1.0067873303167421E-3</v>
      </c>
      <c r="K116">
        <v>1.1180515759312321E-3</v>
      </c>
      <c r="L116">
        <v>9.9548532731376978E-4</v>
      </c>
      <c r="M116">
        <v>1.8034934497816594E-3</v>
      </c>
      <c r="N116">
        <v>9.1144130757800877E-4</v>
      </c>
      <c r="O116">
        <v>1.6625857002938297E-3</v>
      </c>
      <c r="P116">
        <v>1.1112926281396773E-3</v>
      </c>
      <c r="Q116">
        <v>1.3818369453044374E-3</v>
      </c>
      <c r="R116">
        <v>1.4827137277592941E-3</v>
      </c>
      <c r="S116">
        <v>1.6336512594766445E-3</v>
      </c>
    </row>
    <row r="117" spans="1:19">
      <c r="A117">
        <v>3.8361104202934591E-3</v>
      </c>
      <c r="B117">
        <v>1.2801776342349615E-4</v>
      </c>
      <c r="C117">
        <v>3.7471563210919731E-4</v>
      </c>
      <c r="D117">
        <v>2.6674742580254391E-3</v>
      </c>
      <c r="E117">
        <v>1.6484328799526906E-3</v>
      </c>
      <c r="F117">
        <v>3.5709071949947863E-3</v>
      </c>
      <c r="G117">
        <v>1.3550280755487492E-3</v>
      </c>
      <c r="H117">
        <v>1.3537519142419602E-3</v>
      </c>
      <c r="I117">
        <v>3.3161476593111977E-5</v>
      </c>
      <c r="J117">
        <v>2.8054298642533936E-4</v>
      </c>
      <c r="K117">
        <v>1.3810888252148995E-4</v>
      </c>
      <c r="L117">
        <v>7.665914221218962E-4</v>
      </c>
      <c r="M117">
        <v>1.3140465793304221E-3</v>
      </c>
      <c r="N117">
        <v>4.4517087667161957E-4</v>
      </c>
      <c r="O117">
        <v>1.2480411361410384E-3</v>
      </c>
      <c r="P117">
        <v>4.7375944455789259E-4</v>
      </c>
      <c r="Q117">
        <v>9.5424836601307184E-4</v>
      </c>
      <c r="R117">
        <v>1.1327932880081007E-3</v>
      </c>
      <c r="S117">
        <v>1.0503790657862557E-3</v>
      </c>
    </row>
    <row r="118" spans="1:19">
      <c r="A118">
        <v>1.8341208654563542E-22</v>
      </c>
      <c r="B118">
        <v>2.9773920064594272E-23</v>
      </c>
      <c r="C118">
        <v>4.7936301592460197E-24</v>
      </c>
      <c r="D118">
        <v>2.1974560872198667E-3</v>
      </c>
      <c r="E118">
        <v>1.8790656416321702E-3</v>
      </c>
      <c r="F118">
        <v>2.868091762252346E-3</v>
      </c>
      <c r="G118">
        <v>6.6564573762123533E-4</v>
      </c>
      <c r="H118">
        <v>1.6477794793261866E-3</v>
      </c>
      <c r="I118">
        <v>1.8570839348319238E-24</v>
      </c>
      <c r="J118">
        <v>6.4276018099547504E-4</v>
      </c>
      <c r="K118">
        <v>6.3724928366762183E-5</v>
      </c>
      <c r="L118">
        <v>7.3227990970654627E-4</v>
      </c>
      <c r="M118">
        <v>3.7882096069868996E-4</v>
      </c>
      <c r="N118">
        <v>8.7251114413075787E-25</v>
      </c>
      <c r="O118">
        <v>9.2850146914789423E-4</v>
      </c>
      <c r="P118">
        <v>3.7165611598938123E-4</v>
      </c>
      <c r="Q118">
        <v>5.7344341245270044E-4</v>
      </c>
      <c r="R118">
        <v>7.33834803992478E-4</v>
      </c>
      <c r="S118">
        <v>6.5064808021521152E-4</v>
      </c>
    </row>
    <row r="119" spans="1:19">
      <c r="A119">
        <v>1.8701815468788855E-22</v>
      </c>
      <c r="B119">
        <v>3.0359305611626968E-23</v>
      </c>
      <c r="C119">
        <v>4.8878778030549233E-24</v>
      </c>
      <c r="D119">
        <v>1.76862507571169E-3</v>
      </c>
      <c r="E119">
        <v>9.5978710821998802E-4</v>
      </c>
      <c r="F119">
        <v>2.3800834202294054E-3</v>
      </c>
      <c r="G119">
        <v>5.2628892291985705E-4</v>
      </c>
      <c r="H119">
        <v>1.2885145482388974E-3</v>
      </c>
      <c r="I119">
        <v>1.8942049907197362E-24</v>
      </c>
      <c r="J119">
        <v>4.3808446455505273E-4</v>
      </c>
      <c r="K119">
        <v>1.7163323782234957E-24</v>
      </c>
      <c r="L119">
        <v>4.0808126410835218E-4</v>
      </c>
      <c r="M119">
        <v>2.8901018922852984E-4</v>
      </c>
      <c r="N119">
        <v>8.9004457652303114E-25</v>
      </c>
      <c r="O119">
        <v>2.3046033300685604E-4</v>
      </c>
      <c r="P119">
        <v>8.8339799877476004E-5</v>
      </c>
      <c r="Q119">
        <v>2.8930168558651529E-4</v>
      </c>
      <c r="R119">
        <v>4.8821061767684071E-4</v>
      </c>
      <c r="S119">
        <v>2.7353876253362677E-4</v>
      </c>
    </row>
    <row r="120" spans="1:19">
      <c r="A120">
        <v>1.9161900024869435E-22</v>
      </c>
      <c r="B120">
        <v>3.1106176826806621E-23</v>
      </c>
      <c r="C120">
        <v>5.0081247968800784E-24</v>
      </c>
      <c r="D120">
        <v>1.2531798909751666E-3</v>
      </c>
      <c r="E120">
        <v>1.1400059136605558E-3</v>
      </c>
      <c r="F120">
        <v>1.6835245046923878E-3</v>
      </c>
      <c r="G120">
        <v>1.9464012251148547E-24</v>
      </c>
      <c r="H120">
        <v>4.0045941807044413E-4</v>
      </c>
      <c r="I120">
        <v>1.9406063105795012E-24</v>
      </c>
      <c r="J120">
        <v>1.9494720965309198E-24</v>
      </c>
      <c r="K120">
        <v>1.7581661891117479E-24</v>
      </c>
      <c r="L120">
        <v>4.3372460496613996E-5</v>
      </c>
      <c r="M120">
        <v>6.7066957787481797E-5</v>
      </c>
      <c r="N120">
        <v>9.1173848439821691E-25</v>
      </c>
      <c r="O120">
        <v>1.4862879529872676E-4</v>
      </c>
      <c r="P120">
        <v>6.2650602409638549E-25</v>
      </c>
      <c r="Q120">
        <v>1.1513587891296869E-4</v>
      </c>
      <c r="R120">
        <v>3.6178214957326778E-4</v>
      </c>
      <c r="S120">
        <v>1.2081193445830275E-4</v>
      </c>
    </row>
    <row r="121" spans="1:19">
      <c r="A121">
        <v>1.952250683909475E-22</v>
      </c>
      <c r="B121">
        <v>3.1691562373839317E-23</v>
      </c>
      <c r="C121">
        <v>5.1023724406889827E-24</v>
      </c>
      <c r="D121">
        <v>8.3464566929133857E-4</v>
      </c>
      <c r="E121">
        <v>1.1614429331756357E-3</v>
      </c>
      <c r="F121">
        <v>1.3983315954118874E-3</v>
      </c>
      <c r="G121">
        <v>1.982899438489025E-24</v>
      </c>
      <c r="H121">
        <v>4.9709035222052064E-6</v>
      </c>
      <c r="I121">
        <v>1.9766962260259845E-24</v>
      </c>
      <c r="J121">
        <v>1.9864253393665156E-24</v>
      </c>
      <c r="K121">
        <v>1.7908309455587394E-24</v>
      </c>
      <c r="L121">
        <v>1.4108352144469527E-24</v>
      </c>
      <c r="M121">
        <v>1.1371906841339155E-24</v>
      </c>
      <c r="N121">
        <v>9.2867756315007424E-25</v>
      </c>
      <c r="O121">
        <v>2.7179236043095008E-5</v>
      </c>
      <c r="P121">
        <v>6.3814580355319579E-25</v>
      </c>
      <c r="Q121">
        <v>5.3749570003439972E-25</v>
      </c>
      <c r="R121">
        <v>1.2278316215825257E-4</v>
      </c>
      <c r="S121">
        <v>3.7454145267791636E-5</v>
      </c>
    </row>
    <row r="122" spans="1:19">
      <c r="A122">
        <v>1.9907983088783883E-22</v>
      </c>
      <c r="B122">
        <v>3.2317319337908758E-23</v>
      </c>
      <c r="C122">
        <v>5.2031199220019499E-24</v>
      </c>
      <c r="D122">
        <v>4.6820109024833434E-5</v>
      </c>
      <c r="E122">
        <v>1.069485511531638E-3</v>
      </c>
      <c r="F122">
        <v>6.7883211678832118E-4</v>
      </c>
      <c r="G122">
        <v>2.0214395099540582E-24</v>
      </c>
      <c r="H122">
        <v>2.0245022970903522E-24</v>
      </c>
      <c r="I122">
        <v>2.015879562796453E-24</v>
      </c>
      <c r="J122">
        <v>2.7368024132730014E-5</v>
      </c>
      <c r="K122">
        <v>1.8257879656160459E-24</v>
      </c>
      <c r="L122">
        <v>1.4383747178329572E-24</v>
      </c>
      <c r="M122">
        <v>1.1593886462882096E-24</v>
      </c>
      <c r="N122">
        <v>9.4680534918276381E-25</v>
      </c>
      <c r="O122">
        <v>7.8011753183153784E-25</v>
      </c>
      <c r="P122">
        <v>6.5060240963855422E-25</v>
      </c>
      <c r="Q122">
        <v>5.4798761609907126E-25</v>
      </c>
      <c r="R122">
        <v>4.8705337769419937E-6</v>
      </c>
      <c r="S122">
        <v>3.8958180484225968E-25</v>
      </c>
    </row>
    <row r="123" spans="1:19">
      <c r="A123">
        <v>2.0281024620741106E-22</v>
      </c>
      <c r="B123">
        <v>3.2922890593459826E-23</v>
      </c>
      <c r="C123">
        <v>5.3006174845628857E-24</v>
      </c>
      <c r="D123">
        <v>1.9715324046032706E-24</v>
      </c>
      <c r="E123">
        <v>7.8592548787699578E-4</v>
      </c>
      <c r="F123">
        <v>6.8561001042752865E-4</v>
      </c>
      <c r="G123">
        <v>2.0594691168963757E-24</v>
      </c>
      <c r="H123">
        <v>2.0627871362940274E-24</v>
      </c>
      <c r="I123">
        <v>2.053000618684265E-24</v>
      </c>
      <c r="J123">
        <v>2.0633484162895928E-24</v>
      </c>
      <c r="K123">
        <v>1.8601719197707736E-24</v>
      </c>
      <c r="L123">
        <v>1.4654627539503387E-24</v>
      </c>
      <c r="M123">
        <v>1.1812227074235808E-24</v>
      </c>
      <c r="N123">
        <v>9.6463595839524514E-25</v>
      </c>
      <c r="O123">
        <v>7.9480901077375133E-25</v>
      </c>
      <c r="P123">
        <v>6.6285480906677555E-25</v>
      </c>
      <c r="Q123">
        <v>5.5830753353973166E-25</v>
      </c>
      <c r="R123">
        <v>4.6955012295674813E-25</v>
      </c>
      <c r="S123">
        <v>3.9691856199559792E-25</v>
      </c>
    </row>
    <row r="124" spans="1:19">
      <c r="A124">
        <v>2.0753543894553591E-22</v>
      </c>
      <c r="B124">
        <v>3.3689947517157852E-23</v>
      </c>
      <c r="C124">
        <v>5.4241143971400715E-24</v>
      </c>
      <c r="D124">
        <v>2.0175651120533012E-24</v>
      </c>
      <c r="E124">
        <v>3.0115316380839737E-4</v>
      </c>
      <c r="F124">
        <v>1.7320125130344109E-24</v>
      </c>
      <c r="G124">
        <v>2.107452782031649E-24</v>
      </c>
      <c r="H124">
        <v>2.1102603369065849E-24</v>
      </c>
      <c r="I124">
        <v>2.1014642194266861E-24</v>
      </c>
      <c r="J124">
        <v>2.1108597285067872E-24</v>
      </c>
      <c r="K124">
        <v>1.9037249283667619E-24</v>
      </c>
      <c r="L124">
        <v>1.4997742663656885E-24</v>
      </c>
      <c r="M124">
        <v>1.2088791848617175E-24</v>
      </c>
      <c r="N124">
        <v>9.8722139673105491E-25</v>
      </c>
      <c r="O124">
        <v>8.1341821743388833E-25</v>
      </c>
      <c r="P124">
        <v>6.7837451500918919E-25</v>
      </c>
      <c r="Q124">
        <v>5.7137942896456823E-25</v>
      </c>
      <c r="R124">
        <v>4.8054390279184139E-25</v>
      </c>
      <c r="S124">
        <v>4.0621178772315965E-25</v>
      </c>
    </row>
    <row r="125" spans="1:19">
      <c r="A125">
        <v>2.1139020144242726E-22</v>
      </c>
      <c r="B125">
        <v>3.4315704481227293E-23</v>
      </c>
      <c r="C125">
        <v>5.8986025349366269E-4</v>
      </c>
      <c r="D125">
        <v>2.0557238037552999E-24</v>
      </c>
      <c r="E125">
        <v>4.6244825547013595E-4</v>
      </c>
      <c r="F125">
        <v>1.7648592283628782E-24</v>
      </c>
      <c r="G125">
        <v>2.1470137825421133E-24</v>
      </c>
      <c r="H125">
        <v>2.1500765696784073E-24</v>
      </c>
      <c r="I125">
        <v>2.1406475561971542E-24</v>
      </c>
      <c r="J125">
        <v>2.1206636500754145E-5</v>
      </c>
      <c r="K125">
        <v>1.9392550143266474E-24</v>
      </c>
      <c r="L125">
        <v>1.5277652370203162E-24</v>
      </c>
      <c r="M125">
        <v>1.2314410480349344E-24</v>
      </c>
      <c r="N125">
        <v>1.0056463595839524E-24</v>
      </c>
      <c r="O125">
        <v>8.2859941234084234E-25</v>
      </c>
      <c r="P125">
        <v>6.9103532775168463E-25</v>
      </c>
      <c r="Q125">
        <v>5.8204334365325073E-25</v>
      </c>
      <c r="R125">
        <v>4.8951251265731225E-25</v>
      </c>
      <c r="S125">
        <v>4.137931034482758E-25</v>
      </c>
    </row>
    <row r="126" spans="1:19">
      <c r="A126">
        <v>2.1536931111663764E-22</v>
      </c>
      <c r="B126">
        <v>3.4961647153815101E-23</v>
      </c>
      <c r="C126">
        <v>2.2060448488787779E-4</v>
      </c>
      <c r="D126">
        <v>2.0938824954572982E-24</v>
      </c>
      <c r="E126">
        <v>3.8630987581312828E-4</v>
      </c>
      <c r="F126">
        <v>1.7977059436913451E-24</v>
      </c>
      <c r="G126">
        <v>2.1868300153139356E-24</v>
      </c>
      <c r="H126">
        <v>2.1898928024502296E-24</v>
      </c>
      <c r="I126">
        <v>2.1808620334089503E-24</v>
      </c>
      <c r="J126">
        <v>7.9336349924585206E-6</v>
      </c>
      <c r="K126">
        <v>1.9753581661891119E-24</v>
      </c>
      <c r="L126">
        <v>1.5562076749435669E-24</v>
      </c>
      <c r="M126">
        <v>1.2543668122270742E-24</v>
      </c>
      <c r="N126">
        <v>1.0243684992570581E-24</v>
      </c>
      <c r="O126">
        <v>8.440254652301667E-25</v>
      </c>
      <c r="P126">
        <v>7.0390034715131716E-25</v>
      </c>
      <c r="Q126">
        <v>5.9287925696594437E-25</v>
      </c>
      <c r="R126">
        <v>4.9862577752061338E-25</v>
      </c>
      <c r="S126">
        <v>4.2149669845928101E-25</v>
      </c>
    </row>
    <row r="127" spans="1:19">
      <c r="A127">
        <v>2.1909972643620989E-22</v>
      </c>
      <c r="B127">
        <v>3.5567218409366169E-23</v>
      </c>
      <c r="C127">
        <v>3.5911602209944752E-4</v>
      </c>
      <c r="D127">
        <v>2.1308298001211386E-24</v>
      </c>
      <c r="E127">
        <v>2.3329390892962743E-5</v>
      </c>
      <c r="F127">
        <v>1.8295099061522419E-24</v>
      </c>
      <c r="G127">
        <v>2.2256253190403265E-24</v>
      </c>
      <c r="H127">
        <v>2.229709035222052E-24</v>
      </c>
      <c r="I127">
        <v>2.2190142297380904E-24</v>
      </c>
      <c r="J127">
        <v>3.0030165912518853E-5</v>
      </c>
      <c r="K127">
        <v>2.0103151862464184E-24</v>
      </c>
      <c r="L127">
        <v>1.5837471783295714E-24</v>
      </c>
      <c r="M127">
        <v>1.2765647743813684E-24</v>
      </c>
      <c r="N127">
        <v>1.0424962852897475E-24</v>
      </c>
      <c r="O127">
        <v>8.5896180215475036E-25</v>
      </c>
      <c r="P127">
        <v>7.1635695323667559E-25</v>
      </c>
      <c r="Q127">
        <v>6.0337117303061582E-25</v>
      </c>
      <c r="R127">
        <v>5.0744973238825408E-25</v>
      </c>
      <c r="S127">
        <v>4.2895573489850818E-25</v>
      </c>
    </row>
    <row r="128" spans="1:19">
      <c r="A128">
        <v>2.2307883611042025E-22</v>
      </c>
      <c r="B128">
        <v>1.017561566410981E-3</v>
      </c>
      <c r="C128">
        <v>4.540136496587585E-4</v>
      </c>
      <c r="D128">
        <v>2.1689884918231373E-24</v>
      </c>
      <c r="E128">
        <v>4.6555292726197507E-5</v>
      </c>
      <c r="F128">
        <v>1.8628779979144941E-24</v>
      </c>
      <c r="G128">
        <v>2.265952016334865E-24</v>
      </c>
      <c r="H128">
        <v>2.2695252679938743E-24</v>
      </c>
      <c r="I128">
        <v>2.2592287069498865E-24</v>
      </c>
      <c r="J128">
        <v>2.2699849170437404E-24</v>
      </c>
      <c r="K128">
        <v>2.0469914040114611E-24</v>
      </c>
      <c r="L128">
        <v>1.6126410835214448E-24</v>
      </c>
      <c r="M128">
        <v>1.2998544395924308E-24</v>
      </c>
      <c r="N128">
        <v>1.0615156017830609E-24</v>
      </c>
      <c r="O128">
        <v>8.746327130264448E-25</v>
      </c>
      <c r="P128">
        <v>7.2942617929344495E-25</v>
      </c>
      <c r="Q128">
        <v>6.1437908496732033E-25</v>
      </c>
      <c r="R128">
        <v>5.167076522493852E-25</v>
      </c>
      <c r="S128">
        <v>4.3678160919540223E-25</v>
      </c>
    </row>
    <row r="129" spans="1:19">
      <c r="A129">
        <v>2.2805272320318329E-22</v>
      </c>
      <c r="B129">
        <v>2.0153411384739605E-3</v>
      </c>
      <c r="C129">
        <v>1.1023724406889828E-3</v>
      </c>
      <c r="D129">
        <v>2.2174439733494849E-24</v>
      </c>
      <c r="E129">
        <v>2.3684210526315789E-24</v>
      </c>
      <c r="F129">
        <v>1.9040667361835247E-24</v>
      </c>
      <c r="G129">
        <v>2.3162327718223581E-24</v>
      </c>
      <c r="H129">
        <v>2.3200612557427255E-24</v>
      </c>
      <c r="I129">
        <v>2.3097545885749639E-24</v>
      </c>
      <c r="J129">
        <v>2.3205128205128204E-24</v>
      </c>
      <c r="K129">
        <v>2.0922636103151859E-24</v>
      </c>
      <c r="L129">
        <v>1.6483069977426637E-24</v>
      </c>
      <c r="M129">
        <v>1.3286026200873361E-24</v>
      </c>
      <c r="N129">
        <v>1.0849925705794946E-24</v>
      </c>
      <c r="O129">
        <v>8.939764936336924E-25</v>
      </c>
      <c r="P129">
        <v>7.4555850520726971E-25</v>
      </c>
      <c r="Q129">
        <v>6.2796697626418987E-25</v>
      </c>
      <c r="R129">
        <v>5.2813539707796897E-25</v>
      </c>
      <c r="S129">
        <v>4.4644167278063089E-25</v>
      </c>
    </row>
    <row r="130" spans="1:19">
      <c r="A130">
        <v>2.3215618005471274E-22</v>
      </c>
      <c r="B130">
        <v>7.0246265643924104E-3</v>
      </c>
      <c r="C130">
        <v>4.5758856028599282E-4</v>
      </c>
      <c r="D130">
        <v>2.2574197456087221E-24</v>
      </c>
      <c r="E130">
        <v>2.4112950916617384E-24</v>
      </c>
      <c r="F130">
        <v>1.9379562043795621E-24</v>
      </c>
      <c r="G130">
        <v>2.3578356304236857E-24</v>
      </c>
      <c r="H130">
        <v>2.3614088820826951E-24</v>
      </c>
      <c r="I130">
        <v>2.3510002062280884E-24</v>
      </c>
      <c r="J130">
        <v>2.361990950226244E-24</v>
      </c>
      <c r="K130">
        <v>2.1300859598853865E-24</v>
      </c>
      <c r="L130">
        <v>1.6781038374717833E-24</v>
      </c>
      <c r="M130">
        <v>1.3526200873362444E-24</v>
      </c>
      <c r="N130">
        <v>1.1046062407132243E-24</v>
      </c>
      <c r="O130">
        <v>9.1013712047012736E-25</v>
      </c>
      <c r="P130">
        <v>7.5903614457831318E-25</v>
      </c>
      <c r="Q130">
        <v>6.3931888544891639E-25</v>
      </c>
      <c r="R130">
        <v>5.3768262693476061E-25</v>
      </c>
      <c r="S130">
        <v>4.5451210564930299E-25</v>
      </c>
    </row>
    <row r="131" spans="1:19">
      <c r="A131">
        <v>2.3601094255160404E-22</v>
      </c>
      <c r="B131">
        <v>2.3718207509083569E-3</v>
      </c>
      <c r="C131">
        <v>9.541761455963601E-4</v>
      </c>
      <c r="D131">
        <v>2.2943670502725618E-24</v>
      </c>
      <c r="E131">
        <v>2.4512123004139559E-24</v>
      </c>
      <c r="F131">
        <v>1.9702815432742438E-24</v>
      </c>
      <c r="G131">
        <v>2.3968861664114346E-24</v>
      </c>
      <c r="H131">
        <v>2.4012251148545174E-24</v>
      </c>
      <c r="I131">
        <v>2.3901835429985565E-24</v>
      </c>
      <c r="J131">
        <v>2.4012066365007541E-24</v>
      </c>
      <c r="K131">
        <v>2.1650429799426931E-24</v>
      </c>
      <c r="L131">
        <v>1.705643340857788E-24</v>
      </c>
      <c r="M131">
        <v>1.3748180494905384E-24</v>
      </c>
      <c r="N131">
        <v>1.1227340267459137E-24</v>
      </c>
      <c r="O131">
        <v>9.250734573947112E-25</v>
      </c>
      <c r="P131">
        <v>7.7149275066367161E-25</v>
      </c>
      <c r="Q131">
        <v>6.4981080151358784E-25</v>
      </c>
      <c r="R131">
        <v>5.4650658180240122E-25</v>
      </c>
      <c r="S131">
        <v>4.6197114208853016E-25</v>
      </c>
    </row>
    <row r="132" spans="1:19">
      <c r="A132">
        <v>2.4148221835364338E-22</v>
      </c>
      <c r="B132">
        <v>2.5979006863140898E-2</v>
      </c>
      <c r="C132">
        <v>4.3418914527136826E-4</v>
      </c>
      <c r="D132">
        <v>2.3482737734706241E-24</v>
      </c>
      <c r="E132">
        <v>2.5088704908338261E-24</v>
      </c>
      <c r="F132">
        <v>2.0166840458811263E-24</v>
      </c>
      <c r="G132">
        <v>2.4530372639101581E-24</v>
      </c>
      <c r="H132">
        <v>2.4563552833078101E-24</v>
      </c>
      <c r="I132">
        <v>2.445865126830274E-24</v>
      </c>
      <c r="J132">
        <v>2.4570135746606333E-24</v>
      </c>
      <c r="K132">
        <v>2.2160458452722063E-24</v>
      </c>
      <c r="L132">
        <v>1.7458239277652371E-24</v>
      </c>
      <c r="M132">
        <v>1.4072052401746723E-24</v>
      </c>
      <c r="N132">
        <v>1.1491827637444277E-24</v>
      </c>
      <c r="O132">
        <v>9.4686581782566121E-25</v>
      </c>
      <c r="P132">
        <v>7.8966714314886655E-25</v>
      </c>
      <c r="Q132">
        <v>6.6511867905056752E-25</v>
      </c>
      <c r="R132">
        <v>5.5938087660928679E-25</v>
      </c>
      <c r="S132">
        <v>4.728539985326485E-25</v>
      </c>
    </row>
    <row r="133" spans="1:19">
      <c r="A133">
        <v>2.1362845063417058E-2</v>
      </c>
      <c r="B133">
        <v>2.4384335890189745E-3</v>
      </c>
      <c r="C133">
        <v>6.3990900227494315E-24</v>
      </c>
      <c r="D133">
        <v>2.3803755299818291E-24</v>
      </c>
      <c r="E133">
        <v>2.5428740390301594E-24</v>
      </c>
      <c r="F133">
        <v>2.043795620437956E-24</v>
      </c>
      <c r="G133">
        <v>2.4864726901480348E-24</v>
      </c>
      <c r="H133">
        <v>2.4900459418070441E-24</v>
      </c>
      <c r="I133">
        <v>2.478861620952774E-24</v>
      </c>
      <c r="J133">
        <v>2.4909502262443439E-24</v>
      </c>
      <c r="K133">
        <v>2.2458452722063034E-24</v>
      </c>
      <c r="L133">
        <v>1.7693002257336342E-24</v>
      </c>
      <c r="M133">
        <v>1.4261280931586607E-24</v>
      </c>
      <c r="N133">
        <v>1.1646359583952449E-24</v>
      </c>
      <c r="O133">
        <v>9.595984329089129E-25</v>
      </c>
      <c r="P133">
        <v>8.0028588931999171E-25</v>
      </c>
      <c r="Q133">
        <v>6.7406260749913997E-25</v>
      </c>
      <c r="R133">
        <v>5.6690293649645586E-25</v>
      </c>
      <c r="S133">
        <v>4.7921252139887492E-25</v>
      </c>
    </row>
    <row r="134" spans="1:19">
      <c r="A134">
        <v>4.6704799801044514E-2</v>
      </c>
      <c r="B134">
        <v>1.1941865159467097E-2</v>
      </c>
      <c r="C134">
        <v>6.5063373415664616E-24</v>
      </c>
      <c r="D134">
        <v>2.4209569957601453E-24</v>
      </c>
      <c r="E134">
        <v>2.5872264931992901E-24</v>
      </c>
      <c r="F134">
        <v>2.0787278415015644E-24</v>
      </c>
      <c r="G134">
        <v>2.5288412455334354E-24</v>
      </c>
      <c r="H134">
        <v>2.5329249617151605E-24</v>
      </c>
      <c r="I134">
        <v>2.5211383790472262E-24</v>
      </c>
      <c r="J134">
        <v>2.5331825037707388E-24</v>
      </c>
      <c r="K134">
        <v>2.2842406876790829E-24</v>
      </c>
      <c r="L134">
        <v>1.799548532731377E-24</v>
      </c>
      <c r="M134">
        <v>1.450509461426492E-24</v>
      </c>
      <c r="N134">
        <v>1.1845468053491827E-24</v>
      </c>
      <c r="O134">
        <v>9.7600391772771812E-25</v>
      </c>
      <c r="P134">
        <v>8.1396773534817237E-25</v>
      </c>
      <c r="Q134">
        <v>6.8558651530787754E-25</v>
      </c>
      <c r="R134">
        <v>5.7659482135107767E-25</v>
      </c>
      <c r="S134">
        <v>4.8740523355343604E-25</v>
      </c>
    </row>
    <row r="135" spans="1:19">
      <c r="A135">
        <v>7.3451877642377516E-3</v>
      </c>
      <c r="B135">
        <v>1.6423092450545015E-2</v>
      </c>
      <c r="C135">
        <v>6.6200844978875531E-24</v>
      </c>
      <c r="D135">
        <v>2.4627498485766202E-24</v>
      </c>
      <c r="E135">
        <v>2.6315789473684209E-24</v>
      </c>
      <c r="F135">
        <v>2.1147028154327426E-24</v>
      </c>
      <c r="G135">
        <v>2.5727411944869836E-24</v>
      </c>
      <c r="H135">
        <v>2.5773353751914237E-24</v>
      </c>
      <c r="I135">
        <v>2.5654774180243347E-24</v>
      </c>
      <c r="J135">
        <v>2.5769230769230767E-24</v>
      </c>
      <c r="K135">
        <v>2.32378223495702E-24</v>
      </c>
      <c r="L135">
        <v>1.8306997742663659E-24</v>
      </c>
      <c r="M135">
        <v>1.4756186317321687E-24</v>
      </c>
      <c r="N135">
        <v>1.2050520059435364E-24</v>
      </c>
      <c r="O135">
        <v>9.9289911851126367E-25</v>
      </c>
      <c r="P135">
        <v>8.2805799469062696E-25</v>
      </c>
      <c r="Q135">
        <v>6.9745442036463713E-25</v>
      </c>
      <c r="R135">
        <v>5.8657601620135973E-25</v>
      </c>
      <c r="S135">
        <v>4.9584250427977494E-25</v>
      </c>
    </row>
    <row r="136" spans="1:19">
      <c r="A136">
        <v>3.9132056702312859E-2</v>
      </c>
      <c r="B136">
        <v>2.018368994751716E-2</v>
      </c>
      <c r="C136">
        <v>4.4068898277543068E-7</v>
      </c>
      <c r="D136">
        <v>2.5075711689884916E-24</v>
      </c>
      <c r="E136">
        <v>2.6788882318154933E-24</v>
      </c>
      <c r="F136">
        <v>2.1532846715328468E-24</v>
      </c>
      <c r="G136">
        <v>2.6186830015313939E-24</v>
      </c>
      <c r="H136">
        <v>2.6232771822358347E-24</v>
      </c>
      <c r="I136">
        <v>2.6118787378840997E-24</v>
      </c>
      <c r="J136">
        <v>2.6236802413273002E-24</v>
      </c>
      <c r="K136">
        <v>2.3661891117478512E-24</v>
      </c>
      <c r="L136">
        <v>1.8641083521444696E-24</v>
      </c>
      <c r="M136">
        <v>1.5025473071324599E-24</v>
      </c>
      <c r="N136">
        <v>1.2270430906389302E-24</v>
      </c>
      <c r="O136">
        <v>1.0110186092066603E-24</v>
      </c>
      <c r="P136">
        <v>8.4316928731876668E-25</v>
      </c>
      <c r="Q136">
        <v>7.1018231854145169E-25</v>
      </c>
      <c r="R136">
        <v>5.9728048604079274E-25</v>
      </c>
      <c r="S136">
        <v>5.0489117143555876E-25</v>
      </c>
    </row>
    <row r="137" spans="1:19">
      <c r="A137">
        <v>2.6398905744839591E-22</v>
      </c>
      <c r="B137">
        <v>2.569640694388373E-2</v>
      </c>
      <c r="C137">
        <v>3.27916802079948E-3</v>
      </c>
      <c r="D137">
        <v>2.5669291338582679E-24</v>
      </c>
      <c r="E137">
        <v>2.7424600827912477E-24</v>
      </c>
      <c r="F137">
        <v>2.2038581856100104E-24</v>
      </c>
      <c r="G137">
        <v>2.6799387442572743E-24</v>
      </c>
      <c r="H137">
        <v>2.6860643185298623E-24</v>
      </c>
      <c r="I137">
        <v>2.6737471643637861E-24</v>
      </c>
      <c r="J137">
        <v>2.6855203619909498E-24</v>
      </c>
      <c r="K137">
        <v>2.4217765042979941E-24</v>
      </c>
      <c r="L137">
        <v>1.9079006772009033E-24</v>
      </c>
      <c r="M137">
        <v>1.5378457059679767E-24</v>
      </c>
      <c r="N137">
        <v>1.2558692421991084E-24</v>
      </c>
      <c r="O137">
        <v>1.0347698334965721E-24</v>
      </c>
      <c r="P137">
        <v>8.6297733306105787E-25</v>
      </c>
      <c r="Q137">
        <v>7.2686618507051941E-25</v>
      </c>
      <c r="R137">
        <v>6.1131202083031968E-25</v>
      </c>
      <c r="S137">
        <v>5.1675226216678891E-25</v>
      </c>
    </row>
    <row r="138" spans="1:19">
      <c r="A138">
        <v>2.6597861228550113E-2</v>
      </c>
      <c r="B138">
        <v>2.0018167137666531E-2</v>
      </c>
      <c r="C138">
        <v>3.0887227819304522E-3</v>
      </c>
      <c r="D138">
        <v>2.6087219866747428E-24</v>
      </c>
      <c r="E138">
        <v>2.7868125369603781E-24</v>
      </c>
      <c r="F138">
        <v>2.2403545359749738E-24</v>
      </c>
      <c r="G138">
        <v>2.7258805513016843E-24</v>
      </c>
      <c r="H138">
        <v>2.7289433384379786E-24</v>
      </c>
      <c r="I138">
        <v>2.717055062899567E-24</v>
      </c>
      <c r="J138">
        <v>2.7300150829562594E-24</v>
      </c>
      <c r="K138">
        <v>2.4618911174785102E-24</v>
      </c>
      <c r="L138">
        <v>1.9395033860045149E-24</v>
      </c>
      <c r="M138">
        <v>1.5633187772925764E-24</v>
      </c>
      <c r="N138">
        <v>1.2766716196136702E-24</v>
      </c>
      <c r="O138">
        <v>1.0519098922624879E-24</v>
      </c>
      <c r="P138">
        <v>8.7727179906064937E-25</v>
      </c>
      <c r="Q138">
        <v>7.3890608875129004E-25</v>
      </c>
      <c r="R138">
        <v>6.2143787067843201E-25</v>
      </c>
      <c r="S138">
        <v>5.2531181217901682E-25</v>
      </c>
    </row>
    <row r="139" spans="1:19">
      <c r="A139">
        <v>6.2782889828400898E-2</v>
      </c>
      <c r="B139">
        <v>4.1784416633023824E-3</v>
      </c>
      <c r="C139">
        <v>3.0376990575235623E-3</v>
      </c>
      <c r="D139">
        <v>2.6408237431859479E-24</v>
      </c>
      <c r="E139">
        <v>2.8222945002956829E-24</v>
      </c>
      <c r="F139">
        <v>2.2679874869655892E-24</v>
      </c>
      <c r="G139">
        <v>2.7590607452782033E-24</v>
      </c>
      <c r="H139">
        <v>2.7626339969372126E-24</v>
      </c>
      <c r="I139">
        <v>2.7510826974633946E-24</v>
      </c>
      <c r="J139">
        <v>2.7639517345399696E-24</v>
      </c>
      <c r="K139">
        <v>2.4922636103151862E-24</v>
      </c>
      <c r="L139">
        <v>1.9634311512415353E-24</v>
      </c>
      <c r="M139">
        <v>1.5826055312954876E-24</v>
      </c>
      <c r="N139">
        <v>1.2924219910846954E-24</v>
      </c>
      <c r="O139">
        <v>1.0648873653281098E-24</v>
      </c>
      <c r="P139">
        <v>8.8809475188891164E-25</v>
      </c>
      <c r="Q139">
        <v>7.4802201582387345E-25</v>
      </c>
      <c r="R139">
        <v>6.2910458556343124E-25</v>
      </c>
      <c r="S139">
        <v>5.3179261433113227E-25</v>
      </c>
    </row>
    <row r="140" spans="1:19">
      <c r="A140">
        <v>7.0355632927132553E-2</v>
      </c>
      <c r="B140">
        <v>1.2599919257165925E-2</v>
      </c>
      <c r="C140">
        <v>1.0318492037699057E-3</v>
      </c>
      <c r="D140">
        <v>2.6965475469412475E-24</v>
      </c>
      <c r="E140">
        <v>2.8814311058545237E-24</v>
      </c>
      <c r="F140">
        <v>2.3154327424400418E-24</v>
      </c>
      <c r="G140">
        <v>2.8177641653905053E-24</v>
      </c>
      <c r="H140">
        <v>2.8223583460949465E-24</v>
      </c>
      <c r="I140">
        <v>2.8088265621777686E-24</v>
      </c>
      <c r="J140">
        <v>2.8220211161387631E-24</v>
      </c>
      <c r="K140">
        <v>2.5444126074498566E-24</v>
      </c>
      <c r="L140">
        <v>2.0045146726862305E-24</v>
      </c>
      <c r="M140">
        <v>1.615720524017467E-24</v>
      </c>
      <c r="N140">
        <v>1.3194650817236254E-24</v>
      </c>
      <c r="O140">
        <v>1.0871694417238002E-24</v>
      </c>
      <c r="P140">
        <v>9.0667755768838059E-25</v>
      </c>
      <c r="Q140">
        <v>7.6367389060887515E-25</v>
      </c>
      <c r="R140">
        <v>6.4226819036597707E-25</v>
      </c>
      <c r="S140">
        <v>5.4292002934702856E-25</v>
      </c>
    </row>
    <row r="141" spans="1:19">
      <c r="A141">
        <v>0.13093757771698583</v>
      </c>
      <c r="B141">
        <v>2.3031893419459021E-2</v>
      </c>
      <c r="C141">
        <v>7.3675658108547293E-24</v>
      </c>
      <c r="D141">
        <v>2.7407631738340399E-24</v>
      </c>
      <c r="E141">
        <v>2.9287403903015965E-24</v>
      </c>
      <c r="F141">
        <v>2.3534932221063608E-24</v>
      </c>
      <c r="G141">
        <v>2.8637059724349157E-24</v>
      </c>
      <c r="H141">
        <v>2.8683001531393569E-24</v>
      </c>
      <c r="I141">
        <v>2.8552278820375336E-24</v>
      </c>
      <c r="J141">
        <v>2.8680241327300149E-24</v>
      </c>
      <c r="K141">
        <v>2.5862464183381088E-24</v>
      </c>
      <c r="L141">
        <v>2.0374717832957111E-24</v>
      </c>
      <c r="M141">
        <v>1.6422852983988353E-24</v>
      </c>
      <c r="N141">
        <v>1.3411589895988112E-24</v>
      </c>
      <c r="O141">
        <v>1.1050440744368268E-24</v>
      </c>
      <c r="P141">
        <v>9.2158464365938321E-25</v>
      </c>
      <c r="Q141">
        <v>7.7622979016167866E-25</v>
      </c>
      <c r="R141">
        <v>6.5282800520757991E-25</v>
      </c>
      <c r="S141">
        <v>5.5184641721692336E-25</v>
      </c>
    </row>
    <row r="142" spans="1:19">
      <c r="A142">
        <v>0.12869932852524246</v>
      </c>
      <c r="B142">
        <v>3.0763019781994347E-2</v>
      </c>
      <c r="C142">
        <v>1.3025674358141046E-4</v>
      </c>
      <c r="D142">
        <v>2.7874015748031494E-24</v>
      </c>
      <c r="E142">
        <v>2.9775280898876401E-24</v>
      </c>
      <c r="F142">
        <v>2.3931178310740355E-24</v>
      </c>
      <c r="G142">
        <v>2.9122001020929047E-24</v>
      </c>
      <c r="H142">
        <v>2.9157733537519144E-24</v>
      </c>
      <c r="I142">
        <v>8.567745926995257E-6</v>
      </c>
      <c r="J142">
        <v>2.9162895927601807E-24</v>
      </c>
      <c r="K142">
        <v>2.6297994269340971E-24</v>
      </c>
      <c r="L142">
        <v>2.0717832957110609E-24</v>
      </c>
      <c r="M142">
        <v>1.6699417758369721E-24</v>
      </c>
      <c r="N142">
        <v>1.3637444279346209E-24</v>
      </c>
      <c r="O142">
        <v>1.1236532810969638E-24</v>
      </c>
      <c r="P142">
        <v>9.3710434960179695E-25</v>
      </c>
      <c r="Q142">
        <v>7.8930168558651523E-25</v>
      </c>
      <c r="R142">
        <v>6.6382178504267316E-25</v>
      </c>
      <c r="S142">
        <v>5.6113964294448513E-25</v>
      </c>
    </row>
    <row r="143" spans="1:19">
      <c r="A143">
        <v>9.9415568266600345E-3</v>
      </c>
      <c r="B143">
        <v>1.328825191764231E-2</v>
      </c>
      <c r="C143">
        <v>2.4387390315242117E-3</v>
      </c>
      <c r="D143">
        <v>2.8316172016959418E-24</v>
      </c>
      <c r="E143">
        <v>3.0263157894736838E-24</v>
      </c>
      <c r="F143">
        <v>2.4316996871741397E-24</v>
      </c>
      <c r="G143">
        <v>2.9581419091373151E-24</v>
      </c>
      <c r="H143">
        <v>2.9632465543644712E-24</v>
      </c>
      <c r="I143">
        <v>3.7760362961435346E-5</v>
      </c>
      <c r="J143">
        <v>2.9630467571644042E-24</v>
      </c>
      <c r="K143">
        <v>2.6722063037249282E-24</v>
      </c>
      <c r="L143">
        <v>2.1051918735891649E-24</v>
      </c>
      <c r="M143">
        <v>1.6968704512372634E-24</v>
      </c>
      <c r="N143">
        <v>1.3857355126300148E-24</v>
      </c>
      <c r="O143">
        <v>1.1417727717923605E-24</v>
      </c>
      <c r="P143">
        <v>9.5221564222993667E-25</v>
      </c>
      <c r="Q143">
        <v>8.0202958376332988E-25</v>
      </c>
      <c r="R143">
        <v>6.7452625488210617E-25</v>
      </c>
      <c r="S143">
        <v>5.7018831010026895E-25</v>
      </c>
    </row>
    <row r="144" spans="1:19">
      <c r="A144">
        <v>5.943795075851778E-2</v>
      </c>
      <c r="B144">
        <v>2.7634234961647151E-2</v>
      </c>
      <c r="C144">
        <v>2.1598960025999351E-3</v>
      </c>
      <c r="D144">
        <v>2.8764385221078133E-24</v>
      </c>
      <c r="E144">
        <v>3.073625073920757E-24</v>
      </c>
      <c r="F144">
        <v>2.469760166840459E-24</v>
      </c>
      <c r="G144">
        <v>3.0040837161817254E-24</v>
      </c>
      <c r="H144">
        <v>3.0091883614088823E-24</v>
      </c>
      <c r="I144">
        <v>1.5858939987626313E-5</v>
      </c>
      <c r="J144">
        <v>3.0098039215686277E-24</v>
      </c>
      <c r="K144">
        <v>2.7140401146131804E-24</v>
      </c>
      <c r="L144">
        <v>2.1381489841986456E-24</v>
      </c>
      <c r="M144">
        <v>1.7234352256186314E-24</v>
      </c>
      <c r="N144">
        <v>1.4074294205052005E-24</v>
      </c>
      <c r="O144">
        <v>1.1596474045053869E-24</v>
      </c>
      <c r="P144">
        <v>9.6712272820093928E-25</v>
      </c>
      <c r="Q144">
        <v>8.1458548331613339E-25</v>
      </c>
      <c r="R144">
        <v>6.8508606972370892E-25</v>
      </c>
      <c r="S144">
        <v>5.7911469797016375E-25</v>
      </c>
    </row>
    <row r="145" spans="1:19">
      <c r="A145">
        <v>2.0032330266102957E-2</v>
      </c>
      <c r="B145">
        <v>1.9190553088413404E-2</v>
      </c>
      <c r="C145">
        <v>7.8550536236594096E-24</v>
      </c>
      <c r="D145">
        <v>2.9218655360387644E-24</v>
      </c>
      <c r="E145">
        <v>3.1209343583678294E-24</v>
      </c>
      <c r="F145">
        <v>2.5088633993743484E-24</v>
      </c>
      <c r="G145">
        <v>3.052577845839714E-24</v>
      </c>
      <c r="H145">
        <v>3.0566615620214391E-24</v>
      </c>
      <c r="I145">
        <v>3.0428954423592491E-24</v>
      </c>
      <c r="J145">
        <v>3.0573152337858217E-24</v>
      </c>
      <c r="K145">
        <v>2.7570200573065901E-24</v>
      </c>
      <c r="L145">
        <v>2.1720090293453727E-24</v>
      </c>
      <c r="M145">
        <v>1.7507278020378455E-24</v>
      </c>
      <c r="N145">
        <v>1.4297176820208024E-24</v>
      </c>
      <c r="O145">
        <v>1.178011753183154E-24</v>
      </c>
      <c r="P145">
        <v>9.824382274862161E-25</v>
      </c>
      <c r="Q145">
        <v>8.274853801169591E-25</v>
      </c>
      <c r="R145">
        <v>6.959351945609721E-25</v>
      </c>
      <c r="S145">
        <v>5.882856444118366E-25</v>
      </c>
    </row>
    <row r="146" spans="1:19">
      <c r="A146">
        <v>3.066401392688386E-22</v>
      </c>
      <c r="B146">
        <v>1.4450948728300364E-3</v>
      </c>
      <c r="C146">
        <v>4.9593760155996103E-4</v>
      </c>
      <c r="D146">
        <v>2.9818291944276196E-24</v>
      </c>
      <c r="E146">
        <v>3.1859846244825543E-24</v>
      </c>
      <c r="F146">
        <v>2.5604796663190822E-24</v>
      </c>
      <c r="G146">
        <v>3.1138335885655948E-24</v>
      </c>
      <c r="H146">
        <v>3.119448698315467E-24</v>
      </c>
      <c r="I146">
        <v>3.1057950092802639E-24</v>
      </c>
      <c r="J146">
        <v>3.1199095022624434E-24</v>
      </c>
      <c r="K146">
        <v>2.8137535816618906E-24</v>
      </c>
      <c r="L146">
        <v>2.216704288939052E-24</v>
      </c>
      <c r="M146">
        <v>1.7867540029112081E-24</v>
      </c>
      <c r="N146">
        <v>1.4591381872213965E-24</v>
      </c>
      <c r="O146">
        <v>1.202252693437806E-24</v>
      </c>
      <c r="P146">
        <v>1.0026546865427811E-24</v>
      </c>
      <c r="Q146">
        <v>8.4451324389404874E-25</v>
      </c>
      <c r="R146">
        <v>7.1025603934615938E-25</v>
      </c>
      <c r="S146">
        <v>6.0039129371484461E-25</v>
      </c>
    </row>
    <row r="147" spans="1:19">
      <c r="A147">
        <v>3.1037055458841081E-22</v>
      </c>
      <c r="B147">
        <v>3.4880904319741623E-3</v>
      </c>
      <c r="C147">
        <v>8.1117972050698741E-24</v>
      </c>
      <c r="D147">
        <v>3.0181708055723803E-24</v>
      </c>
      <c r="E147">
        <v>3.2244234180958008E-24</v>
      </c>
      <c r="F147">
        <v>2.5912408759124088E-24</v>
      </c>
      <c r="G147">
        <v>3.1521184277692703E-24</v>
      </c>
      <c r="H147">
        <v>3.1577335375191422E-24</v>
      </c>
      <c r="I147">
        <v>3.143947205609404E-24</v>
      </c>
      <c r="J147">
        <v>3.1583710407239818E-24</v>
      </c>
      <c r="K147">
        <v>2.84756446991404E-24</v>
      </c>
      <c r="L147">
        <v>2.2433408577878107E-24</v>
      </c>
      <c r="M147">
        <v>1.8082241630276562E-24</v>
      </c>
      <c r="N147">
        <v>1.4766716196136701E-24</v>
      </c>
      <c r="O147">
        <v>1.2166993143976495E-24</v>
      </c>
      <c r="P147">
        <v>1.0147028793138656E-24</v>
      </c>
      <c r="Q147">
        <v>8.5466116271069836E-25</v>
      </c>
      <c r="R147">
        <v>7.1879068421813974E-25</v>
      </c>
      <c r="S147">
        <v>6.0760577158229391E-25</v>
      </c>
    </row>
    <row r="148" spans="1:19">
      <c r="A148">
        <v>3.1633921909972644E-22</v>
      </c>
      <c r="B148">
        <v>5.1352442470730724E-23</v>
      </c>
      <c r="C148">
        <v>8.2677933051673713E-24</v>
      </c>
      <c r="D148">
        <v>3.0751059963658387E-24</v>
      </c>
      <c r="E148">
        <v>3.2850384387936132E-24</v>
      </c>
      <c r="F148">
        <v>2.6402502606882173E-24</v>
      </c>
      <c r="G148">
        <v>3.2133741704951506E-24</v>
      </c>
      <c r="H148">
        <v>3.2174578866768761E-24</v>
      </c>
      <c r="I148">
        <v>3.2027222107651063E-24</v>
      </c>
      <c r="J148">
        <v>3.2179487179487179E-24</v>
      </c>
      <c r="K148">
        <v>2.9014326647564469E-24</v>
      </c>
      <c r="L148">
        <v>2.2857787810383749E-24</v>
      </c>
      <c r="M148">
        <v>1.8424308588064046E-24</v>
      </c>
      <c r="N148">
        <v>1.5046062407132243E-24</v>
      </c>
      <c r="O148">
        <v>1.2397159647404507E-24</v>
      </c>
      <c r="P148">
        <v>1.0338983050847457E-24</v>
      </c>
      <c r="Q148">
        <v>8.7082903336773312E-25</v>
      </c>
      <c r="R148">
        <v>7.3238825401417616E-25</v>
      </c>
      <c r="S148">
        <v>6.1910002445585718E-25</v>
      </c>
    </row>
    <row r="149" spans="1:19">
      <c r="A149">
        <v>3.2143745336980848E-22</v>
      </c>
      <c r="B149">
        <v>6.9176423092450539E-3</v>
      </c>
      <c r="C149">
        <v>8.4010399740006514E-24</v>
      </c>
      <c r="D149">
        <v>3.124772864930345E-24</v>
      </c>
      <c r="E149">
        <v>3.3382613837965701E-24</v>
      </c>
      <c r="F149">
        <v>2.6830031282586029E-24</v>
      </c>
      <c r="G149">
        <v>3.2644206227667179E-24</v>
      </c>
      <c r="H149">
        <v>3.2695252679938745E-24</v>
      </c>
      <c r="I149">
        <v>3.2553103732728398E-24</v>
      </c>
      <c r="J149">
        <v>3.2699849170437405E-24</v>
      </c>
      <c r="K149">
        <v>2.9484240687679082E-24</v>
      </c>
      <c r="L149">
        <v>2.3227990970654632E-24</v>
      </c>
      <c r="M149">
        <v>1.8722707423580785E-24</v>
      </c>
      <c r="N149">
        <v>1.5289747399702823E-24</v>
      </c>
      <c r="O149">
        <v>1.2597943192948092E-24</v>
      </c>
      <c r="P149">
        <v>1.0506432509699817E-24</v>
      </c>
      <c r="Q149">
        <v>8.8493292053663581E-25</v>
      </c>
      <c r="R149">
        <v>7.4424996383625054E-25</v>
      </c>
      <c r="S149">
        <v>6.2912692589875272E-25</v>
      </c>
    </row>
    <row r="150" spans="1:19">
      <c r="A150">
        <v>3.2641134046257147E-22</v>
      </c>
      <c r="B150">
        <v>1.6237383932176019E-3</v>
      </c>
      <c r="C150">
        <v>8.5310367240818986E-24</v>
      </c>
      <c r="D150">
        <v>3.1738340399757724E-24</v>
      </c>
      <c r="E150">
        <v>3.3914843287995267E-24</v>
      </c>
      <c r="F150">
        <v>2.7252346193952032E-24</v>
      </c>
      <c r="G150">
        <v>3.3154670750382848E-24</v>
      </c>
      <c r="H150">
        <v>3.3215926493108728E-24</v>
      </c>
      <c r="I150">
        <v>3.3058362548979172E-24</v>
      </c>
      <c r="J150">
        <v>3.3212669683257918E-24</v>
      </c>
      <c r="K150">
        <v>2.9948424068767908E-24</v>
      </c>
      <c r="L150">
        <v>2.3593679458239281E-24</v>
      </c>
      <c r="M150">
        <v>1.9017467248908295E-24</v>
      </c>
      <c r="N150">
        <v>1.5530460624071321E-24</v>
      </c>
      <c r="O150">
        <v>1.2796278158667974E-24</v>
      </c>
      <c r="P150">
        <v>1.0671839901980805E-24</v>
      </c>
      <c r="Q150">
        <v>8.9886480908152745E-25</v>
      </c>
      <c r="R150">
        <v>7.5596701866049474E-25</v>
      </c>
      <c r="S150">
        <v>6.3903154805575934E-25</v>
      </c>
    </row>
    <row r="151" spans="1:19">
      <c r="A151">
        <v>3.317582690872917E-22</v>
      </c>
      <c r="B151">
        <v>5.3855470327008476E-23</v>
      </c>
      <c r="C151">
        <v>8.6707832304192402E-24</v>
      </c>
      <c r="D151">
        <v>3.2259236826165962E-24</v>
      </c>
      <c r="E151">
        <v>3.4461856889414541E-24</v>
      </c>
      <c r="F151">
        <v>2.7700729927007299E-24</v>
      </c>
      <c r="G151">
        <v>3.36906584992343E-24</v>
      </c>
      <c r="H151">
        <v>3.375191424196018E-24</v>
      </c>
      <c r="I151">
        <v>3.3594555578469791E-24</v>
      </c>
      <c r="J151">
        <v>3.375565610859728E-24</v>
      </c>
      <c r="K151">
        <v>3.0435530085959886E-24</v>
      </c>
      <c r="L151">
        <v>2.397742663656885E-24</v>
      </c>
      <c r="M151">
        <v>1.9326783114992721E-24</v>
      </c>
      <c r="N151">
        <v>1.5783060921248143E-24</v>
      </c>
      <c r="O151">
        <v>1.3004407443682665E-24</v>
      </c>
      <c r="P151">
        <v>1.0845415560547274E-24</v>
      </c>
      <c r="Q151">
        <v>9.1348469212246312E-25</v>
      </c>
      <c r="R151">
        <v>7.6826269347605963E-25</v>
      </c>
      <c r="S151">
        <v>6.4942528735632176E-25</v>
      </c>
    </row>
    <row r="152" spans="1:19">
      <c r="A152">
        <v>3.3710519771201194E-22</v>
      </c>
      <c r="B152">
        <v>2.1396851029471136E-3</v>
      </c>
      <c r="C152">
        <v>8.8105297367565817E-24</v>
      </c>
      <c r="D152">
        <v>3.27801332525742E-24</v>
      </c>
      <c r="E152">
        <v>3.5023654642223539E-24</v>
      </c>
      <c r="F152">
        <v>2.8143899895724714E-24</v>
      </c>
      <c r="G152">
        <v>3.4252169474221542E-24</v>
      </c>
      <c r="H152">
        <v>3.4287901990811639E-24</v>
      </c>
      <c r="I152">
        <v>3.4141060012373686E-24</v>
      </c>
      <c r="J152">
        <v>3.4298642533936649E-24</v>
      </c>
      <c r="K152">
        <v>3.092836676217765E-24</v>
      </c>
      <c r="L152">
        <v>2.4365688487584654E-24</v>
      </c>
      <c r="M152">
        <v>1.9639737991266376E-24</v>
      </c>
      <c r="N152">
        <v>1.6038632986627043E-24</v>
      </c>
      <c r="O152">
        <v>1.321498530852106E-24</v>
      </c>
      <c r="P152">
        <v>1.1021033285685113E-24</v>
      </c>
      <c r="Q152">
        <v>9.2827657378740983E-25</v>
      </c>
      <c r="R152">
        <v>7.8070302328945469E-25</v>
      </c>
      <c r="S152">
        <v>6.5994130594277331E-25</v>
      </c>
    </row>
    <row r="153" spans="1:19">
      <c r="A153">
        <v>3.4381994528724196E-22</v>
      </c>
      <c r="B153">
        <v>5.549051271699636E-3</v>
      </c>
      <c r="C153">
        <v>8.9860253493662675E-24</v>
      </c>
      <c r="D153">
        <v>3.3428225317989095E-24</v>
      </c>
      <c r="E153">
        <v>3.5718509757539913E-24</v>
      </c>
      <c r="F153">
        <v>2.8706986444212722E-24</v>
      </c>
      <c r="G153">
        <v>3.4915773353751914E-24</v>
      </c>
      <c r="H153">
        <v>3.4977029096477794E-24</v>
      </c>
      <c r="I153">
        <v>3.4821612703650239E-24</v>
      </c>
      <c r="J153">
        <v>3.4977375565610854E-24</v>
      </c>
      <c r="K153">
        <v>3.154154727793696E-24</v>
      </c>
      <c r="L153">
        <v>2.4848758465011287E-24</v>
      </c>
      <c r="M153">
        <v>2.0029112081513824E-24</v>
      </c>
      <c r="N153">
        <v>1.6356612184249627E-24</v>
      </c>
      <c r="O153">
        <v>1.3476983349657199E-24</v>
      </c>
      <c r="P153">
        <v>1.1239534408821727E-24</v>
      </c>
      <c r="Q153">
        <v>9.4668042655658752E-25</v>
      </c>
      <c r="R153">
        <v>7.9618110805728334E-25</v>
      </c>
      <c r="S153">
        <v>6.7302518953289304E-25</v>
      </c>
    </row>
    <row r="154" spans="1:19">
      <c r="A154">
        <v>3.4941556826660034E-22</v>
      </c>
      <c r="B154">
        <v>1.3498183286233347E-3</v>
      </c>
      <c r="C154">
        <v>9.1322716932076705E-24</v>
      </c>
      <c r="D154">
        <v>3.3973349485160504E-24</v>
      </c>
      <c r="E154">
        <v>3.6295091661738612E-24</v>
      </c>
      <c r="F154">
        <v>2.9171011470281543E-24</v>
      </c>
      <c r="G154">
        <v>3.5477284328739156E-24</v>
      </c>
      <c r="H154">
        <v>3.554364471669219E-24</v>
      </c>
      <c r="I154">
        <v>3.5388739946380694E-24</v>
      </c>
      <c r="J154">
        <v>3.5550527903469082E-24</v>
      </c>
      <c r="K154">
        <v>3.2051575931232089E-24</v>
      </c>
      <c r="L154">
        <v>2.5250564334085781E-24</v>
      </c>
      <c r="M154">
        <v>2.0352983988355164E-24</v>
      </c>
      <c r="N154">
        <v>1.6621099554234769E-24</v>
      </c>
      <c r="O154">
        <v>1.3694906953966699E-24</v>
      </c>
      <c r="P154">
        <v>1.1421278333673676E-24</v>
      </c>
      <c r="Q154">
        <v>9.619883040935672E-25</v>
      </c>
      <c r="R154">
        <v>8.0905540286416891E-25</v>
      </c>
      <c r="S154">
        <v>6.8390804597701138E-25</v>
      </c>
    </row>
    <row r="155" spans="1:19">
      <c r="A155">
        <v>3.5588162148719226E-22</v>
      </c>
      <c r="B155">
        <v>1.8811061768268068E-2</v>
      </c>
      <c r="C155">
        <v>9.3012674683132935E-24</v>
      </c>
      <c r="D155">
        <v>3.4597213809812231E-24</v>
      </c>
      <c r="E155">
        <v>3.6960378474275569E-24</v>
      </c>
      <c r="F155">
        <v>2.9708029197080295E-24</v>
      </c>
      <c r="G155">
        <v>3.6140888208269529E-24</v>
      </c>
      <c r="H155">
        <v>3.6202143950995401E-24</v>
      </c>
      <c r="I155">
        <v>3.6038358424417406E-24</v>
      </c>
      <c r="J155">
        <v>3.6199095022624427E-24</v>
      </c>
      <c r="K155">
        <v>3.2641833810888252E-24</v>
      </c>
      <c r="L155">
        <v>2.5715575620767496E-24</v>
      </c>
      <c r="M155">
        <v>2.0727802037845703E-24</v>
      </c>
      <c r="N155">
        <v>1.6927191679049035E-24</v>
      </c>
      <c r="O155">
        <v>1.3947110675808032E-24</v>
      </c>
      <c r="P155">
        <v>1.1631611190524811E-24</v>
      </c>
      <c r="Q155">
        <v>9.7970416236670105E-25</v>
      </c>
      <c r="R155">
        <v>8.2395486764067696E-25</v>
      </c>
      <c r="S155">
        <v>6.9650281242357539E-25</v>
      </c>
    </row>
    <row r="156" spans="1:19">
      <c r="A156">
        <v>3.6197463317582689E-22</v>
      </c>
      <c r="B156">
        <v>5.5369398465886146E-3</v>
      </c>
      <c r="C156">
        <v>9.4605134871628221E-24</v>
      </c>
      <c r="D156">
        <v>3.519079345850999E-24</v>
      </c>
      <c r="E156">
        <v>3.7596096984033117E-24</v>
      </c>
      <c r="F156">
        <v>3.0213764337851931E-24</v>
      </c>
      <c r="G156">
        <v>3.6753445635528328E-24</v>
      </c>
      <c r="H156">
        <v>3.6814701378254216E-24</v>
      </c>
      <c r="I156">
        <v>3.665704268921427E-24</v>
      </c>
      <c r="J156">
        <v>3.6825037707390644E-24</v>
      </c>
      <c r="K156">
        <v>3.3203438395415468E-24</v>
      </c>
      <c r="L156">
        <v>2.615801354401806E-24</v>
      </c>
      <c r="M156">
        <v>2.1084425036390101E-24</v>
      </c>
      <c r="N156">
        <v>1.7218424962852899E-24</v>
      </c>
      <c r="O156">
        <v>1.4187071498530854E-24</v>
      </c>
      <c r="P156">
        <v>1.1831733714519094E-24</v>
      </c>
      <c r="Q156">
        <v>9.9656002751977982E-25</v>
      </c>
      <c r="R156">
        <v>8.3813105742803407E-25</v>
      </c>
      <c r="S156">
        <v>7.0848618244069447E-25</v>
      </c>
    </row>
    <row r="157" spans="1:19">
      <c r="A157">
        <v>3.6831633921909972E-22</v>
      </c>
      <c r="B157">
        <v>8.9422688736374642E-3</v>
      </c>
      <c r="C157">
        <v>9.6262593435164122E-24</v>
      </c>
      <c r="D157">
        <v>3.5808600847970931E-24</v>
      </c>
      <c r="E157">
        <v>3.8261383796570074E-24</v>
      </c>
      <c r="F157">
        <v>3.0750782064650676E-24</v>
      </c>
      <c r="G157">
        <v>3.7417049515058708E-24</v>
      </c>
      <c r="H157">
        <v>3.7473200612557427E-24</v>
      </c>
      <c r="I157">
        <v>3.7296349762837702E-24</v>
      </c>
      <c r="J157">
        <v>3.7473604826546003E-24</v>
      </c>
      <c r="K157">
        <v>3.3787965616045845E-24</v>
      </c>
      <c r="L157">
        <v>2.6618510158013548E-24</v>
      </c>
      <c r="M157">
        <v>2.1455604075691411E-24</v>
      </c>
      <c r="N157">
        <v>1.7521545319465081E-24</v>
      </c>
      <c r="O157">
        <v>1.4436826640548484E-24</v>
      </c>
      <c r="P157">
        <v>1.2040024504798857E-24</v>
      </c>
      <c r="Q157">
        <v>1.0141038871689026E-24</v>
      </c>
      <c r="R157">
        <v>8.5288586720671205E-25</v>
      </c>
      <c r="S157">
        <v>7.2095866960136945E-25</v>
      </c>
    </row>
    <row r="158" spans="1:19">
      <c r="A158">
        <v>3.7590151703556328E-22</v>
      </c>
      <c r="B158">
        <v>6.1021396851029479E-23</v>
      </c>
      <c r="C158">
        <v>9.8245043873903167E-24</v>
      </c>
      <c r="D158">
        <v>3.6541490006056937E-24</v>
      </c>
      <c r="E158">
        <v>3.9044943820224714E-24</v>
      </c>
      <c r="F158">
        <v>3.1376433785192913E-24</v>
      </c>
      <c r="G158">
        <v>3.8182746299132212E-24</v>
      </c>
      <c r="H158">
        <v>3.8238897396630931E-24</v>
      </c>
      <c r="I158">
        <v>3.8059393689420496E-24</v>
      </c>
      <c r="J158">
        <v>3.8242835595776771E-24</v>
      </c>
      <c r="K158">
        <v>3.4481375358166187E-24</v>
      </c>
      <c r="L158">
        <v>2.7164785553047408E-24</v>
      </c>
      <c r="M158">
        <v>2.1895924308588062E-24</v>
      </c>
      <c r="N158">
        <v>1.788112927191679E-24</v>
      </c>
      <c r="O158">
        <v>1.4733104799216457E-24</v>
      </c>
      <c r="P158">
        <v>1.2287114559934652E-24</v>
      </c>
      <c r="Q158">
        <v>1.0349157206742346E-24</v>
      </c>
      <c r="R158">
        <v>8.7038912194416318E-25</v>
      </c>
      <c r="S158">
        <v>7.3575446319393486E-25</v>
      </c>
    </row>
    <row r="159" spans="1:19">
      <c r="A159">
        <v>3.824919174334742E-22</v>
      </c>
      <c r="B159">
        <v>1.0068631408962456E-2</v>
      </c>
      <c r="C159">
        <v>9.9967500812479682E-24</v>
      </c>
      <c r="D159">
        <v>3.7195639006662633E-24</v>
      </c>
      <c r="E159">
        <v>3.9739798935541096E-24</v>
      </c>
      <c r="F159">
        <v>3.1934306569343065E-24</v>
      </c>
      <c r="G159">
        <v>3.8846350178662584E-24</v>
      </c>
      <c r="H159">
        <v>3.8912710566615618E-24</v>
      </c>
      <c r="I159">
        <v>3.8739946380697048E-24</v>
      </c>
      <c r="J159">
        <v>3.8921568627450983E-24</v>
      </c>
      <c r="K159">
        <v>3.5094555873925498E-24</v>
      </c>
      <c r="L159">
        <v>2.7647855530474044E-24</v>
      </c>
      <c r="M159">
        <v>2.2285298398835517E-24</v>
      </c>
      <c r="N159">
        <v>1.8199108469539374E-24</v>
      </c>
      <c r="O159">
        <v>1.4995102840352598E-24</v>
      </c>
      <c r="P159">
        <v>1.2505615683071269E-24</v>
      </c>
      <c r="Q159">
        <v>1.0533195734434125E-24</v>
      </c>
      <c r="R159">
        <v>8.8586720671199192E-25</v>
      </c>
      <c r="S159">
        <v>7.4883834678405478E-25</v>
      </c>
    </row>
    <row r="160" spans="1:19">
      <c r="A160">
        <v>3.8933101218602337E-22</v>
      </c>
      <c r="B160">
        <v>4.6911586596689548E-3</v>
      </c>
      <c r="C160">
        <v>1.0175495612609685E-23</v>
      </c>
      <c r="D160">
        <v>3.7855844942459114E-24</v>
      </c>
      <c r="E160">
        <v>4.0449438202247186E-24</v>
      </c>
      <c r="F160">
        <v>3.2502606882168926E-24</v>
      </c>
      <c r="G160">
        <v>3.953547728432874E-24</v>
      </c>
      <c r="H160">
        <v>3.9601837672281773E-24</v>
      </c>
      <c r="I160">
        <v>3.9430810476386888E-24</v>
      </c>
      <c r="J160">
        <v>3.9607843137254896E-24</v>
      </c>
      <c r="K160">
        <v>3.5719197707736388E-24</v>
      </c>
      <c r="L160">
        <v>2.813995485327314E-24</v>
      </c>
      <c r="M160">
        <v>2.2681950509461426E-24</v>
      </c>
      <c r="N160">
        <v>1.852303120356612E-24</v>
      </c>
      <c r="O160">
        <v>1.5261998041136143E-24</v>
      </c>
      <c r="P160">
        <v>1.2728200939350622E-24</v>
      </c>
      <c r="Q160">
        <v>1.0720674234606123E-24</v>
      </c>
      <c r="R160">
        <v>9.01634601475481E-25</v>
      </c>
      <c r="S160">
        <v>7.6216678894595247E-25</v>
      </c>
    </row>
    <row r="161" spans="1:19">
      <c r="A161">
        <v>3.9579706540661524E-22</v>
      </c>
      <c r="B161">
        <v>1.0847799757771497E-2</v>
      </c>
      <c r="C161">
        <v>1.0344491387715307E-23</v>
      </c>
      <c r="D161">
        <v>3.8479709267110834E-24</v>
      </c>
      <c r="E161">
        <v>4.1114725014784143E-24</v>
      </c>
      <c r="F161">
        <v>3.3044838373305527E-24</v>
      </c>
      <c r="G161">
        <v>4.0199081163859112E-24</v>
      </c>
      <c r="H161">
        <v>4.0260336906584992E-24</v>
      </c>
      <c r="I161">
        <v>4.0080428954423593E-24</v>
      </c>
      <c r="J161">
        <v>4.0271493212669682E-24</v>
      </c>
      <c r="K161">
        <v>3.6309455587392547E-24</v>
      </c>
      <c r="L161">
        <v>2.8604966139954855E-24</v>
      </c>
      <c r="M161">
        <v>2.3056768558951961E-24</v>
      </c>
      <c r="N161">
        <v>1.8829123328380385E-24</v>
      </c>
      <c r="O161">
        <v>1.5514201762977474E-24</v>
      </c>
      <c r="P161">
        <v>1.2938533796201754E-24</v>
      </c>
      <c r="Q161">
        <v>1.0897832817337461E-24</v>
      </c>
      <c r="R161">
        <v>9.1653406625198887E-25</v>
      </c>
      <c r="S161">
        <v>7.7476155539251638E-25</v>
      </c>
    </row>
    <row r="162" spans="1:19">
      <c r="A162">
        <v>4.0263616015916441E-22</v>
      </c>
      <c r="B162">
        <v>6.5361324182478814E-23</v>
      </c>
      <c r="C162">
        <v>1.0523236919077024E-23</v>
      </c>
      <c r="D162">
        <v>3.9145972138098125E-24</v>
      </c>
      <c r="E162">
        <v>4.1824364281490234E-24</v>
      </c>
      <c r="F162">
        <v>3.3613138686131388E-24</v>
      </c>
      <c r="G162">
        <v>4.0888208269525268E-24</v>
      </c>
      <c r="H162">
        <v>4.0964777947932616E-24</v>
      </c>
      <c r="I162">
        <v>4.0771293050113426E-24</v>
      </c>
      <c r="J162">
        <v>4.0965309200603319E-24</v>
      </c>
      <c r="K162">
        <v>3.6934097421203437E-24</v>
      </c>
      <c r="L162">
        <v>2.9097065462753955E-24</v>
      </c>
      <c r="M162">
        <v>2.3453420669577873E-24</v>
      </c>
      <c r="N162">
        <v>1.915304606240713E-24</v>
      </c>
      <c r="O162">
        <v>1.5781096963761021E-24</v>
      </c>
      <c r="P162">
        <v>1.3161119052481111E-24</v>
      </c>
      <c r="Q162">
        <v>1.1085311317509461E-24</v>
      </c>
      <c r="R162">
        <v>9.3230146101547814E-25</v>
      </c>
      <c r="S162">
        <v>7.8808999755441425E-25</v>
      </c>
    </row>
    <row r="163" spans="1:19">
      <c r="A163">
        <v>4.1158915692613771E-22</v>
      </c>
      <c r="B163">
        <v>5.9285425918449739E-5</v>
      </c>
      <c r="C163">
        <v>1.0757231069223269E-23</v>
      </c>
      <c r="D163">
        <v>4.0012113870381584E-24</v>
      </c>
      <c r="E163">
        <v>4.2755765819041981E-24</v>
      </c>
      <c r="F163">
        <v>3.4358706986444208E-24</v>
      </c>
      <c r="G163">
        <v>4.1807044410413475E-24</v>
      </c>
      <c r="H163">
        <v>4.1868300153139355E-24</v>
      </c>
      <c r="I163">
        <v>4.1678696638482157E-24</v>
      </c>
      <c r="J163">
        <v>4.1870286576168922E-24</v>
      </c>
      <c r="K163">
        <v>3.7753581661891112E-24</v>
      </c>
      <c r="L163">
        <v>2.9742663656884877E-24</v>
      </c>
      <c r="M163">
        <v>2.3973799126637553E-24</v>
      </c>
      <c r="N163">
        <v>1.9578008915304606E-24</v>
      </c>
      <c r="O163">
        <v>1.6131243878550441E-24</v>
      </c>
      <c r="P163">
        <v>1.3453134572187052E-24</v>
      </c>
      <c r="Q163">
        <v>1.13312693498452E-24</v>
      </c>
      <c r="R163">
        <v>9.5298712570519302E-25</v>
      </c>
      <c r="S163">
        <v>8.0557593543653697E-25</v>
      </c>
    </row>
    <row r="164" spans="1:19">
      <c r="A164">
        <v>4.1954737627455851E-22</v>
      </c>
      <c r="B164">
        <v>1.6453371013322567E-2</v>
      </c>
      <c r="C164">
        <v>1.0965225869353266E-23</v>
      </c>
      <c r="D164">
        <v>4.0787401574803146E-24</v>
      </c>
      <c r="E164">
        <v>4.3583678296865754E-24</v>
      </c>
      <c r="F164">
        <v>3.502606882168926E-24</v>
      </c>
      <c r="G164">
        <v>4.2598264420622768E-24</v>
      </c>
      <c r="H164">
        <v>4.267993874425727E-24</v>
      </c>
      <c r="I164">
        <v>4.2482986182718087E-24</v>
      </c>
      <c r="J164">
        <v>4.2684766214177976E-24</v>
      </c>
      <c r="K164">
        <v>3.8487106017191973E-24</v>
      </c>
      <c r="L164">
        <v>3.0320541760722346E-24</v>
      </c>
      <c r="M164">
        <v>2.4439592430858801E-24</v>
      </c>
      <c r="N164">
        <v>1.9958395245170873E-24</v>
      </c>
      <c r="O164">
        <v>1.6444662095984328E-24</v>
      </c>
      <c r="P164">
        <v>1.3714519093322441E-24</v>
      </c>
      <c r="Q164">
        <v>1.155142758857929E-24</v>
      </c>
      <c r="R164">
        <v>9.7150296542745544E-25</v>
      </c>
      <c r="S164">
        <v>8.2122768403032507E-25</v>
      </c>
    </row>
    <row r="165" spans="1:19">
      <c r="A165">
        <v>4.2762994280029841E-22</v>
      </c>
      <c r="B165">
        <v>6.9418651594670979E-23</v>
      </c>
      <c r="C165">
        <v>1.1176470588235295E-23</v>
      </c>
      <c r="D165">
        <v>4.1574803149606295E-24</v>
      </c>
      <c r="E165">
        <v>4.4426374926079243E-24</v>
      </c>
      <c r="F165">
        <v>3.5698644421272157E-24</v>
      </c>
      <c r="G165">
        <v>4.3440530883103627E-24</v>
      </c>
      <c r="H165">
        <v>4.3491577335375193E-24</v>
      </c>
      <c r="I165">
        <v>4.330789853578057E-24</v>
      </c>
      <c r="J165">
        <v>4.3506787330316739E-24</v>
      </c>
      <c r="K165">
        <v>3.9226361031518624E-24</v>
      </c>
      <c r="L165">
        <v>3.0902934537246055E-24</v>
      </c>
      <c r="M165">
        <v>2.4909024745269285E-24</v>
      </c>
      <c r="N165">
        <v>2.0341753343239227E-24</v>
      </c>
      <c r="O165">
        <v>1.6760528893241923E-24</v>
      </c>
      <c r="P165">
        <v>1.3977945681029203E-24</v>
      </c>
      <c r="Q165">
        <v>1.1773305813553493E-24</v>
      </c>
      <c r="R165">
        <v>9.9016346014754812E-25</v>
      </c>
      <c r="S165">
        <v>8.3700171191000239E-25</v>
      </c>
    </row>
    <row r="166" spans="1:19">
      <c r="A166">
        <v>4.3571250932603822E-22</v>
      </c>
      <c r="B166">
        <v>4.0391602745256357E-3</v>
      </c>
      <c r="C166">
        <v>1.1387715307117322E-23</v>
      </c>
      <c r="D166">
        <v>4.2356147789218651E-24</v>
      </c>
      <c r="E166">
        <v>4.5254287403903017E-24</v>
      </c>
      <c r="F166">
        <v>3.6371220020855061E-24</v>
      </c>
      <c r="G166">
        <v>4.4257274119448696E-24</v>
      </c>
      <c r="H166">
        <v>4.4318529862174576E-24</v>
      </c>
      <c r="I166">
        <v>4.412249948442978E-24</v>
      </c>
      <c r="J166">
        <v>4.4321266968325786E-24</v>
      </c>
      <c r="K166">
        <v>3.9965616045845274E-24</v>
      </c>
      <c r="L166">
        <v>3.1485327313769757E-24</v>
      </c>
      <c r="M166">
        <v>2.5378457059679766E-24</v>
      </c>
      <c r="N166">
        <v>2.0725111441307578E-24</v>
      </c>
      <c r="O166">
        <v>1.7076395690499513E-24</v>
      </c>
      <c r="P166">
        <v>1.4241372268735961E-24</v>
      </c>
      <c r="Q166">
        <v>1.1995184038527693E-24</v>
      </c>
      <c r="R166">
        <v>1.0088239548676406E-24</v>
      </c>
      <c r="S166">
        <v>8.5277573978967961E-25</v>
      </c>
    </row>
    <row r="167" spans="1:19">
      <c r="A167">
        <v>2.8500373041531954E-2</v>
      </c>
      <c r="B167">
        <v>1.6794509487283004E-3</v>
      </c>
      <c r="C167">
        <v>1.1631459213519662E-23</v>
      </c>
      <c r="D167">
        <v>4.3270745003028467E-24</v>
      </c>
      <c r="E167">
        <v>4.6230041395623882E-24</v>
      </c>
      <c r="F167">
        <v>3.715328467153285E-24</v>
      </c>
      <c r="G167">
        <v>4.5201633486472693E-24</v>
      </c>
      <c r="H167">
        <v>4.5267993874425727E-24</v>
      </c>
      <c r="I167">
        <v>4.507114869045164E-24</v>
      </c>
      <c r="J167">
        <v>4.5279034690799391E-24</v>
      </c>
      <c r="K167">
        <v>4.0830945558739251E-24</v>
      </c>
      <c r="L167">
        <v>3.2167042889390521E-24</v>
      </c>
      <c r="M167">
        <v>2.5927947598253272E-24</v>
      </c>
      <c r="N167">
        <v>2.1173848439821691E-24</v>
      </c>
      <c r="O167">
        <v>1.7446131243878552E-24</v>
      </c>
      <c r="P167">
        <v>1.4549724321012865E-24</v>
      </c>
      <c r="Q167">
        <v>1.2254901960784314E-24</v>
      </c>
      <c r="R167">
        <v>1.0306668595399971E-24</v>
      </c>
      <c r="S167">
        <v>8.7123991195891405E-25</v>
      </c>
    </row>
    <row r="168" spans="1:19">
      <c r="A168">
        <v>1.6040785874160655E-3</v>
      </c>
      <c r="B168">
        <v>1.4174404521598707E-2</v>
      </c>
      <c r="C168">
        <v>1.3539161520961977E-4</v>
      </c>
      <c r="D168">
        <v>4.4439733494851604E-24</v>
      </c>
      <c r="E168">
        <v>4.7486694263749262E-24</v>
      </c>
      <c r="F168">
        <v>3.8159541188738269E-24</v>
      </c>
      <c r="G168">
        <v>4.6426748340990308E-24</v>
      </c>
      <c r="H168">
        <v>4.6493108728943334E-24</v>
      </c>
      <c r="I168">
        <v>4.6287894411218807E-24</v>
      </c>
      <c r="J168">
        <v>4.6500754147812965E-24</v>
      </c>
      <c r="K168">
        <v>4.1931232091690539E-24</v>
      </c>
      <c r="L168">
        <v>3.3033860045146727E-24</v>
      </c>
      <c r="M168">
        <v>2.6626637554585147E-24</v>
      </c>
      <c r="N168">
        <v>2.1744427934621096E-24</v>
      </c>
      <c r="O168">
        <v>1.7916258570029381E-24</v>
      </c>
      <c r="P168">
        <v>1.4941801102715946E-24</v>
      </c>
      <c r="Q168">
        <v>1.2585139318885448E-24</v>
      </c>
      <c r="R168">
        <v>1.0584406191233906E-24</v>
      </c>
      <c r="S168">
        <v>8.947175348495963E-25</v>
      </c>
    </row>
    <row r="169" spans="1:19">
      <c r="A169">
        <v>4.6754538671972144E-22</v>
      </c>
      <c r="B169">
        <v>1.5135244247073073E-2</v>
      </c>
      <c r="C169">
        <v>6.0513487162820929E-4</v>
      </c>
      <c r="D169">
        <v>4.5457298606904906E-24</v>
      </c>
      <c r="E169">
        <v>4.8565937315198102E-24</v>
      </c>
      <c r="F169">
        <v>3.9035453597497392E-24</v>
      </c>
      <c r="G169">
        <v>4.7498723838693211E-24</v>
      </c>
      <c r="H169">
        <v>4.7565084226646245E-24</v>
      </c>
      <c r="I169">
        <v>4.7349969065786764E-24</v>
      </c>
      <c r="J169">
        <v>4.757164404223227E-24</v>
      </c>
      <c r="K169">
        <v>4.2893982808022923E-24</v>
      </c>
      <c r="L169">
        <v>3.3792325056433414E-24</v>
      </c>
      <c r="M169">
        <v>2.7237991266375543E-24</v>
      </c>
      <c r="N169">
        <v>2.2243684992570578E-24</v>
      </c>
      <c r="O169">
        <v>1.8327619980411363E-24</v>
      </c>
      <c r="P169">
        <v>1.5284868286706146E-24</v>
      </c>
      <c r="Q169">
        <v>1.2874097007223942E-24</v>
      </c>
      <c r="R169">
        <v>1.08274265875886E-24</v>
      </c>
      <c r="S169">
        <v>9.1526045487894348E-25</v>
      </c>
    </row>
    <row r="170" spans="1:19">
      <c r="A170">
        <v>7.3178313852275551E-2</v>
      </c>
      <c r="B170">
        <v>7.2103350827614045E-3</v>
      </c>
      <c r="C170">
        <v>1.1829704257393565E-3</v>
      </c>
      <c r="D170">
        <v>4.6741368867353115E-24</v>
      </c>
      <c r="E170">
        <v>4.9940863394441157E-24</v>
      </c>
      <c r="F170">
        <v>4.0135557872784153E-24</v>
      </c>
      <c r="G170">
        <v>4.8825931597753956E-24</v>
      </c>
      <c r="H170">
        <v>4.8897396630934151E-24</v>
      </c>
      <c r="I170">
        <v>4.8690451639513301E-24</v>
      </c>
      <c r="J170">
        <v>4.891402714932126E-24</v>
      </c>
      <c r="K170">
        <v>4.4103151862464182E-24</v>
      </c>
      <c r="L170">
        <v>3.4744920993227991E-24</v>
      </c>
      <c r="M170">
        <v>2.8005822416302766E-24</v>
      </c>
      <c r="N170">
        <v>2.287072808320951E-24</v>
      </c>
      <c r="O170">
        <v>1.884427032321254E-24</v>
      </c>
      <c r="P170">
        <v>1.5715744333265264E-24</v>
      </c>
      <c r="Q170">
        <v>1.3237014103887169E-24</v>
      </c>
      <c r="R170">
        <v>1.1132648633010271E-24</v>
      </c>
      <c r="S170">
        <v>9.4106138420151615E-25</v>
      </c>
    </row>
    <row r="171" spans="1:19">
      <c r="A171">
        <v>0.17595125590649091</v>
      </c>
      <c r="B171">
        <v>8.0096891400888167E-23</v>
      </c>
      <c r="C171">
        <v>4.1468963275918102E-3</v>
      </c>
      <c r="D171">
        <v>4.7970926711084195E-24</v>
      </c>
      <c r="E171">
        <v>5.1256652868125363E-24</v>
      </c>
      <c r="F171">
        <v>4.1193952033368091E-24</v>
      </c>
      <c r="G171">
        <v>5.0102092904543144E-24</v>
      </c>
      <c r="H171">
        <v>5.0199081163859106E-24</v>
      </c>
      <c r="I171">
        <v>4.9969065786760157E-24</v>
      </c>
      <c r="J171">
        <v>5.0196078431372545E-24</v>
      </c>
      <c r="K171">
        <v>4.5266475644699141E-24</v>
      </c>
      <c r="L171">
        <v>3.5661399548532734E-24</v>
      </c>
      <c r="M171">
        <v>2.8744541484716155E-24</v>
      </c>
      <c r="N171">
        <v>2.3473997028231796E-24</v>
      </c>
      <c r="O171">
        <v>1.9341332027424096E-24</v>
      </c>
      <c r="P171">
        <v>1.6130283847253419E-24</v>
      </c>
      <c r="Q171">
        <v>1.3586171310629515E-24</v>
      </c>
      <c r="R171">
        <v>1.1426298278605526E-24</v>
      </c>
      <c r="S171">
        <v>9.658840792369772E-25</v>
      </c>
    </row>
    <row r="172" spans="1:19">
      <c r="A172">
        <v>0.13578711763242973</v>
      </c>
      <c r="B172">
        <v>8.2519176423092452E-23</v>
      </c>
      <c r="C172">
        <v>4.6701332466688337E-3</v>
      </c>
      <c r="D172">
        <v>4.9430648092065414E-24</v>
      </c>
      <c r="E172">
        <v>5.2808988764044942E-24</v>
      </c>
      <c r="F172">
        <v>4.2440041710114706E-24</v>
      </c>
      <c r="G172">
        <v>5.1633486472690151E-24</v>
      </c>
      <c r="H172">
        <v>5.171516079632466E-24</v>
      </c>
      <c r="I172">
        <v>5.148484223551248E-24</v>
      </c>
      <c r="J172">
        <v>5.1719457013574655E-24</v>
      </c>
      <c r="K172">
        <v>4.6636103151862456E-24</v>
      </c>
      <c r="L172">
        <v>3.6740406320541759E-24</v>
      </c>
      <c r="M172">
        <v>2.9614264919941772E-24</v>
      </c>
      <c r="N172">
        <v>2.4184249628528971E-24</v>
      </c>
      <c r="O172">
        <v>1.9926542605288931E-24</v>
      </c>
      <c r="P172">
        <v>1.6618337757810902E-24</v>
      </c>
      <c r="Q172">
        <v>1.3997248022015822E-24</v>
      </c>
      <c r="R172">
        <v>1.1772023723419642E-24</v>
      </c>
      <c r="S172">
        <v>9.9510882856444104E-25</v>
      </c>
    </row>
    <row r="173" spans="1:19">
      <c r="A173">
        <v>0.12658542651081819</v>
      </c>
      <c r="B173">
        <v>8.5203875656035522E-23</v>
      </c>
      <c r="C173">
        <v>4.1338966525836856E-3</v>
      </c>
      <c r="D173">
        <v>5.1029678982434887E-24</v>
      </c>
      <c r="E173">
        <v>5.452395032525133E-24</v>
      </c>
      <c r="F173">
        <v>4.3816475495307616E-24</v>
      </c>
      <c r="G173">
        <v>5.3318019397651868E-24</v>
      </c>
      <c r="H173">
        <v>5.339969372128637E-24</v>
      </c>
      <c r="I173">
        <v>5.3155289750464014E-24</v>
      </c>
      <c r="J173">
        <v>5.3401206636500758E-24</v>
      </c>
      <c r="K173">
        <v>4.8148997134670487E-24</v>
      </c>
      <c r="L173">
        <v>3.7932279909706552E-24</v>
      </c>
      <c r="M173">
        <v>3.0574963609898107E-24</v>
      </c>
      <c r="N173">
        <v>2.4968796433878155E-24</v>
      </c>
      <c r="O173">
        <v>2.057296767874633E-24</v>
      </c>
      <c r="P173">
        <v>1.7157443332652644E-24</v>
      </c>
      <c r="Q173">
        <v>1.4451324389404885E-24</v>
      </c>
      <c r="R173">
        <v>1.2153912917691306E-24</v>
      </c>
      <c r="S173">
        <v>1.0273905600391292E-24</v>
      </c>
    </row>
    <row r="174" spans="1:19">
      <c r="A174">
        <v>0.3163392190997264</v>
      </c>
      <c r="B174">
        <v>4.467097295115058E-3</v>
      </c>
      <c r="C174">
        <v>5.9798505037374069E-3</v>
      </c>
      <c r="D174">
        <v>5.2707450030284678E-24</v>
      </c>
      <c r="E174">
        <v>5.631283264340626E-24</v>
      </c>
      <c r="F174">
        <v>4.5255474452554744E-24</v>
      </c>
      <c r="G174">
        <v>5.5053598774885144E-24</v>
      </c>
      <c r="H174">
        <v>5.5145482388973968E-24</v>
      </c>
      <c r="I174">
        <v>5.4897917096308523E-24</v>
      </c>
      <c r="J174">
        <v>5.5150829562594267E-24</v>
      </c>
      <c r="K174">
        <v>4.9730659025787964E-24</v>
      </c>
      <c r="L174">
        <v>3.9178329571106094E-24</v>
      </c>
      <c r="M174">
        <v>3.157933042212518E-24</v>
      </c>
      <c r="N174">
        <v>2.5789004457652303E-24</v>
      </c>
      <c r="O174">
        <v>2.1248775710088152E-24</v>
      </c>
      <c r="P174">
        <v>1.7721053706350827E-24</v>
      </c>
      <c r="Q174">
        <v>1.4926040591675266E-24</v>
      </c>
      <c r="R174">
        <v>1.2553160711702589E-24</v>
      </c>
      <c r="S174">
        <v>1.0611396429444852E-24</v>
      </c>
    </row>
    <row r="175" spans="1:19">
      <c r="A175">
        <v>0.16836607809002735</v>
      </c>
      <c r="B175">
        <v>2.6463463867581753E-3</v>
      </c>
      <c r="C175">
        <v>8.1670458238544043E-3</v>
      </c>
      <c r="D175">
        <v>5.4427619624470018E-24</v>
      </c>
      <c r="E175">
        <v>5.8160851567120039E-24</v>
      </c>
      <c r="F175">
        <v>4.6736183524504693E-24</v>
      </c>
      <c r="G175">
        <v>5.6865747830525776E-24</v>
      </c>
      <c r="H175">
        <v>5.6952526799387446E-24</v>
      </c>
      <c r="I175">
        <v>5.6692101464219426E-24</v>
      </c>
      <c r="J175">
        <v>5.6953242835595779E-24</v>
      </c>
      <c r="K175">
        <v>5.1358166189111742E-24</v>
      </c>
      <c r="L175">
        <v>4.0460496613995485E-24</v>
      </c>
      <c r="M175">
        <v>3.2612809315866083E-24</v>
      </c>
      <c r="N175">
        <v>2.6632986627043089E-24</v>
      </c>
      <c r="O175">
        <v>2.1944172380019591E-24</v>
      </c>
      <c r="P175">
        <v>1.8301000612619972E-24</v>
      </c>
      <c r="Q175">
        <v>1.5414516683866528E-24</v>
      </c>
      <c r="R175">
        <v>1.2963980905540285E-24</v>
      </c>
      <c r="S175">
        <v>1.0958669601369527E-24</v>
      </c>
    </row>
    <row r="176" spans="1:19">
      <c r="A176">
        <v>0.20044764983834867</v>
      </c>
      <c r="B176">
        <v>1.6079935405732739E-2</v>
      </c>
      <c r="C176">
        <v>7.0653233669158268E-3</v>
      </c>
      <c r="D176">
        <v>5.6608116293155662E-24</v>
      </c>
      <c r="E176">
        <v>6.048196333530455E-24</v>
      </c>
      <c r="F176">
        <v>4.8607924921793537E-24</v>
      </c>
      <c r="G176">
        <v>5.9137314956610518E-24</v>
      </c>
      <c r="H176">
        <v>5.9234303215926488E-24</v>
      </c>
      <c r="I176">
        <v>5.896061043514127E-24</v>
      </c>
      <c r="J176">
        <v>5.5263951734539965E-4</v>
      </c>
      <c r="K176">
        <v>5.3415472779369624E-24</v>
      </c>
      <c r="L176">
        <v>4.2081264108352151E-24</v>
      </c>
      <c r="M176">
        <v>3.3919213973799126E-24</v>
      </c>
      <c r="N176">
        <v>2.7699851411589894E-24</v>
      </c>
      <c r="O176">
        <v>2.2823212536728702E-24</v>
      </c>
      <c r="P176">
        <v>1.9034102511741882E-24</v>
      </c>
      <c r="Q176">
        <v>1.6031991744066047E-24</v>
      </c>
      <c r="R176">
        <v>1.3483292347750614E-24</v>
      </c>
      <c r="S176">
        <v>1.1397652237710931E-24</v>
      </c>
    </row>
    <row r="177" spans="1:19">
      <c r="A177">
        <v>0.14747575230042276</v>
      </c>
      <c r="B177">
        <v>9.7759386354461034E-3</v>
      </c>
      <c r="C177">
        <v>4.195645108872278E-3</v>
      </c>
      <c r="D177">
        <v>5.890975166565718E-24</v>
      </c>
      <c r="E177">
        <v>6.2936132465996445E-24</v>
      </c>
      <c r="F177">
        <v>5.0583941605839413E-24</v>
      </c>
      <c r="G177">
        <v>6.1536498213374174E-24</v>
      </c>
      <c r="H177">
        <v>6.1638591117917298E-24</v>
      </c>
      <c r="I177">
        <v>6.1363167663435757E-24</v>
      </c>
      <c r="J177">
        <v>2.1395173453996982E-4</v>
      </c>
      <c r="K177">
        <v>5.558166189111747E-24</v>
      </c>
      <c r="L177">
        <v>4.3787810383747181E-24</v>
      </c>
      <c r="M177">
        <v>3.5294759825327506E-24</v>
      </c>
      <c r="N177">
        <v>2.8823179791976221E-24</v>
      </c>
      <c r="O177">
        <v>2.3748775710088148E-24</v>
      </c>
      <c r="P177">
        <v>1.9806003675719827E-24</v>
      </c>
      <c r="Q177">
        <v>1.6682146542827658E-24</v>
      </c>
      <c r="R177">
        <v>1.4030088239548674E-24</v>
      </c>
      <c r="S177">
        <v>1.1859867938371238E-24</v>
      </c>
    </row>
    <row r="178" spans="1:19">
      <c r="A178">
        <v>0.14735140512310368</v>
      </c>
      <c r="B178">
        <v>5.0989099717400083E-3</v>
      </c>
      <c r="C178">
        <v>5.3591160220994478E-3</v>
      </c>
      <c r="D178">
        <v>6.1053906723198063E-24</v>
      </c>
      <c r="E178">
        <v>6.5257244234180956E-24</v>
      </c>
      <c r="F178">
        <v>5.2450469238790412E-24</v>
      </c>
      <c r="G178">
        <v>6.3808065339458909E-24</v>
      </c>
      <c r="H178">
        <v>6.3905053598774887E-24</v>
      </c>
      <c r="I178">
        <v>6.3621365229944314E-24</v>
      </c>
      <c r="J178">
        <v>3.7360482654600301E-4</v>
      </c>
      <c r="K178">
        <v>5.7650429799426932E-24</v>
      </c>
      <c r="L178">
        <v>4.54176072234763E-24</v>
      </c>
      <c r="M178">
        <v>3.6608442503639006E-24</v>
      </c>
      <c r="N178">
        <v>2.9895988112927191E-24</v>
      </c>
      <c r="O178">
        <v>2.4632713026444664E-24</v>
      </c>
      <c r="P178">
        <v>2.0543189707984479E-24</v>
      </c>
      <c r="Q178">
        <v>1.7303061575507394E-24</v>
      </c>
      <c r="R178">
        <v>1.4552292781715609E-24</v>
      </c>
      <c r="S178">
        <v>1.2301296160430422E-24</v>
      </c>
    </row>
    <row r="179" spans="1:19">
      <c r="A179">
        <v>0.10060930116886345</v>
      </c>
      <c r="B179">
        <v>7.3738393217601941E-3</v>
      </c>
      <c r="C179">
        <v>1.8170295742606438E-3</v>
      </c>
      <c r="D179">
        <v>6.3840096910963054E-24</v>
      </c>
      <c r="E179">
        <v>6.8228858663512701E-24</v>
      </c>
      <c r="F179">
        <v>5.4848800834202292E-24</v>
      </c>
      <c r="G179">
        <v>6.6717713118938234E-24</v>
      </c>
      <c r="H179">
        <v>6.6814701378254204E-24</v>
      </c>
      <c r="I179">
        <v>6.6518869870076309E-24</v>
      </c>
      <c r="J179">
        <v>6.6825037707390639E-24</v>
      </c>
      <c r="K179">
        <v>6.0286532951289395E-24</v>
      </c>
      <c r="L179">
        <v>4.7494356659142213E-24</v>
      </c>
      <c r="M179">
        <v>3.8282387190684132E-24</v>
      </c>
      <c r="N179">
        <v>3.1263001485884099E-24</v>
      </c>
      <c r="O179">
        <v>2.5759059745347699E-24</v>
      </c>
      <c r="P179">
        <v>2.1482540330814784E-24</v>
      </c>
      <c r="Q179">
        <v>1.8094255245958031E-24</v>
      </c>
      <c r="R179">
        <v>1.5217705771734413E-24</v>
      </c>
      <c r="S179">
        <v>1.2863780875519685E-24</v>
      </c>
    </row>
    <row r="180" spans="1:19">
      <c r="A180">
        <v>0.17371300671474757</v>
      </c>
      <c r="B180">
        <v>3.2458619297537346E-3</v>
      </c>
      <c r="C180">
        <v>7.5723106922326944E-3</v>
      </c>
      <c r="D180">
        <v>6.6444579043004249E-24</v>
      </c>
      <c r="E180">
        <v>7.1008279124778228E-24</v>
      </c>
      <c r="F180">
        <v>5.7038581856100107E-24</v>
      </c>
      <c r="G180">
        <v>6.942317508933129E-24</v>
      </c>
      <c r="H180">
        <v>6.9540581929555889E-24</v>
      </c>
      <c r="I180">
        <v>6.9220457826355959E-24</v>
      </c>
      <c r="J180">
        <v>6.9539969834087471E-24</v>
      </c>
      <c r="K180">
        <v>6.2693409742120343E-24</v>
      </c>
      <c r="L180">
        <v>4.9390519187358922E-24</v>
      </c>
      <c r="M180">
        <v>3.9810771470160113E-24</v>
      </c>
      <c r="N180">
        <v>3.2511144130757802E-24</v>
      </c>
      <c r="O180">
        <v>2.6787463271302647E-24</v>
      </c>
      <c r="P180">
        <v>2.2340208290790281E-24</v>
      </c>
      <c r="Q180">
        <v>1.8816649466804265E-24</v>
      </c>
      <c r="R180">
        <v>1.5825256762621149E-24</v>
      </c>
      <c r="S180">
        <v>1.3377353876253362E-24</v>
      </c>
    </row>
    <row r="181" spans="1:19">
      <c r="A181">
        <v>5.9835861725938813E-2</v>
      </c>
      <c r="B181">
        <v>3.3427533306419059E-2</v>
      </c>
      <c r="C181">
        <v>8.1247968800779984E-3</v>
      </c>
      <c r="D181">
        <v>6.9594185342216831E-24</v>
      </c>
      <c r="E181">
        <v>7.4349497338852752E-24</v>
      </c>
      <c r="F181">
        <v>5.9749739311783113E-24</v>
      </c>
      <c r="G181">
        <v>7.2690148034711595E-24</v>
      </c>
      <c r="H181">
        <v>7.2802450229709033E-24</v>
      </c>
      <c r="I181">
        <v>7.2478861620952769E-24</v>
      </c>
      <c r="J181">
        <v>7.2812971342383105E-24</v>
      </c>
      <c r="K181">
        <v>6.5673352435530082E-24</v>
      </c>
      <c r="L181">
        <v>5.1738148984198651E-24</v>
      </c>
      <c r="M181">
        <v>4.1703056768558949E-24</v>
      </c>
      <c r="N181">
        <v>3.4056463595839522E-24</v>
      </c>
      <c r="O181">
        <v>2.8060724779627819E-24</v>
      </c>
      <c r="P181">
        <v>2.3402082907902798E-24</v>
      </c>
      <c r="Q181">
        <v>1.9711042311661506E-24</v>
      </c>
      <c r="R181">
        <v>1.6577462751338059E-24</v>
      </c>
      <c r="S181">
        <v>1.4013206162876008E-24</v>
      </c>
    </row>
    <row r="182" spans="1:19">
      <c r="A182">
        <v>0.21163889579706538</v>
      </c>
      <c r="B182">
        <v>4.2793702058942271E-2</v>
      </c>
      <c r="C182">
        <v>8.3815404614884619E-3</v>
      </c>
      <c r="D182">
        <v>7.3046638400969112E-24</v>
      </c>
      <c r="E182">
        <v>7.8060319337670012E-24</v>
      </c>
      <c r="F182">
        <v>6.272158498435871E-24</v>
      </c>
      <c r="G182">
        <v>7.6314446145992858E-24</v>
      </c>
      <c r="H182">
        <v>7.6431852986217443E-24</v>
      </c>
      <c r="I182">
        <v>7.6098164570014446E-24</v>
      </c>
      <c r="J182">
        <v>7.6470588235294109E-24</v>
      </c>
      <c r="K182">
        <v>6.8939828080229217E-24</v>
      </c>
      <c r="L182">
        <v>5.4311512415349887E-24</v>
      </c>
      <c r="M182">
        <v>4.3777292576419211E-24</v>
      </c>
      <c r="N182">
        <v>3.5750371471025258E-24</v>
      </c>
      <c r="O182">
        <v>2.9456415279138099E-24</v>
      </c>
      <c r="P182">
        <v>2.4566060853583825E-24</v>
      </c>
      <c r="Q182">
        <v>2.0691434468524251E-24</v>
      </c>
      <c r="R182">
        <v>1.7401996238970053E-24</v>
      </c>
      <c r="S182">
        <v>1.4710198092443138E-24</v>
      </c>
    </row>
    <row r="183" spans="1:19">
      <c r="A183">
        <v>0.11487192240736135</v>
      </c>
      <c r="B183">
        <v>3.4154218813080339E-2</v>
      </c>
      <c r="C183">
        <v>2.7832304192395192E-3</v>
      </c>
      <c r="D183">
        <v>7.6075105996365835E-24</v>
      </c>
      <c r="E183">
        <v>8.1253696037847421E-24</v>
      </c>
      <c r="F183">
        <v>6.5328467153284669E-24</v>
      </c>
      <c r="G183">
        <v>7.9453802960694228E-24</v>
      </c>
      <c r="H183">
        <v>7.9571209800918827E-24</v>
      </c>
      <c r="I183">
        <v>7.9222520107238599E-24</v>
      </c>
      <c r="J183">
        <v>7.9562594268476615E-24</v>
      </c>
      <c r="K183">
        <v>7.1747851002865321E-24</v>
      </c>
      <c r="L183">
        <v>5.6523702031602715E-24</v>
      </c>
      <c r="M183">
        <v>4.5560407569141192E-24</v>
      </c>
      <c r="N183">
        <v>3.7206537890044575E-24</v>
      </c>
      <c r="O183">
        <v>3.0656219392752205E-24</v>
      </c>
      <c r="P183">
        <v>2.5566673473555237E-24</v>
      </c>
      <c r="Q183">
        <v>2.1534227726178192E-24</v>
      </c>
      <c r="R183">
        <v>1.8110805728337914E-24</v>
      </c>
      <c r="S183">
        <v>1.5309366593299094E-24</v>
      </c>
    </row>
    <row r="184" spans="1:19">
      <c r="A184">
        <v>0.25180303407112659</v>
      </c>
      <c r="B184">
        <v>4.0815502624142108E-3</v>
      </c>
      <c r="C184">
        <v>3.7666558336041604E-3</v>
      </c>
      <c r="D184">
        <v>7.9951544518473644E-24</v>
      </c>
      <c r="E184">
        <v>8.5437610881135412E-24</v>
      </c>
      <c r="F184">
        <v>6.8665276329509905E-24</v>
      </c>
      <c r="G184">
        <v>8.3537519142419609E-24</v>
      </c>
      <c r="H184">
        <v>8.3675344563552822E-24</v>
      </c>
      <c r="I184">
        <v>8.3295524850484633E-24</v>
      </c>
      <c r="J184">
        <v>8.3710407239819007E-24</v>
      </c>
      <c r="K184">
        <v>7.5472779369627501E-24</v>
      </c>
      <c r="L184">
        <v>5.9458239277652373E-24</v>
      </c>
      <c r="M184">
        <v>4.7925764192139736E-24</v>
      </c>
      <c r="N184">
        <v>3.9138187221396731E-24</v>
      </c>
      <c r="O184">
        <v>3.2247796278158671E-24</v>
      </c>
      <c r="P184">
        <v>2.6894016744945885E-24</v>
      </c>
      <c r="Q184">
        <v>2.265221878224974E-24</v>
      </c>
      <c r="R184">
        <v>1.9051063214234052E-24</v>
      </c>
      <c r="S184">
        <v>1.6104181951577402E-24</v>
      </c>
    </row>
    <row r="185" spans="1:19">
      <c r="A185">
        <v>2.1822929619497635E-2</v>
      </c>
      <c r="B185">
        <v>1.4004844570044408E-22</v>
      </c>
      <c r="C185">
        <v>6.2105947351316221E-3</v>
      </c>
      <c r="D185">
        <v>8.3888552392489391E-24</v>
      </c>
      <c r="E185">
        <v>8.9621525724423418E-24</v>
      </c>
      <c r="F185">
        <v>7.200208550573514E-24</v>
      </c>
      <c r="G185">
        <v>8.7621235324144975E-24</v>
      </c>
      <c r="H185">
        <v>8.776416539050535E-24</v>
      </c>
      <c r="I185">
        <v>8.7368529593730668E-24</v>
      </c>
      <c r="J185">
        <v>8.7782805429864247E-24</v>
      </c>
      <c r="K185">
        <v>7.91404011461318E-24</v>
      </c>
      <c r="L185">
        <v>6.2347629796839728E-24</v>
      </c>
      <c r="M185">
        <v>5.025473071324599E-24</v>
      </c>
      <c r="N185">
        <v>4.1040118870728078E-24</v>
      </c>
      <c r="O185">
        <v>3.3814887365328114E-24</v>
      </c>
      <c r="P185">
        <v>2.8200939350622827E-24</v>
      </c>
      <c r="Q185">
        <v>2.3753009975920191E-24</v>
      </c>
      <c r="R185">
        <v>1.9976855200347171E-24</v>
      </c>
      <c r="S185">
        <v>1.6886769381266813E-24</v>
      </c>
    </row>
    <row r="186" spans="1:19">
      <c r="A186">
        <v>3.740363093757771E-2</v>
      </c>
      <c r="B186">
        <v>1.4691158659668954E-22</v>
      </c>
      <c r="C186">
        <v>4.1208969775755611E-3</v>
      </c>
      <c r="D186">
        <v>8.8007268322228947E-24</v>
      </c>
      <c r="E186">
        <v>9.4012418687167358E-24</v>
      </c>
      <c r="F186">
        <v>7.5547445255474455E-24</v>
      </c>
      <c r="G186">
        <v>9.1909137314956618E-24</v>
      </c>
      <c r="H186">
        <v>9.2067381316998461E-24</v>
      </c>
      <c r="I186">
        <v>9.1647762425242322E-24</v>
      </c>
      <c r="J186">
        <v>9.2081447963800901E-24</v>
      </c>
      <c r="K186">
        <v>8.3037249283667606E-24</v>
      </c>
      <c r="L186">
        <v>6.5417607223476295E-24</v>
      </c>
      <c r="M186">
        <v>5.2729257641921389E-24</v>
      </c>
      <c r="N186">
        <v>4.3060921248142642E-24</v>
      </c>
      <c r="O186">
        <v>3.547992164544564E-24</v>
      </c>
      <c r="P186">
        <v>2.9589544619154582E-24</v>
      </c>
      <c r="Q186">
        <v>2.4922600619195044E-24</v>
      </c>
      <c r="R186">
        <v>2.0960509185592359E-24</v>
      </c>
      <c r="S186">
        <v>1.771826852531181E-24</v>
      </c>
    </row>
    <row r="187" spans="1:19">
      <c r="A187">
        <v>5.6155185277294198E-2</v>
      </c>
      <c r="B187">
        <v>1.5373435607589826E-22</v>
      </c>
      <c r="C187">
        <v>5.4273643158921038E-4</v>
      </c>
      <c r="D187">
        <v>9.2065414900060567E-24</v>
      </c>
      <c r="E187">
        <v>9.8373743347131867E-24</v>
      </c>
      <c r="F187">
        <v>7.9040667361835242E-24</v>
      </c>
      <c r="G187">
        <v>9.6171516079632486E-24</v>
      </c>
      <c r="H187">
        <v>9.6339969372128621E-24</v>
      </c>
      <c r="I187">
        <v>9.5906372447927401E-24</v>
      </c>
      <c r="J187">
        <v>9.6380090497737554E-24</v>
      </c>
      <c r="K187">
        <v>8.6876790830945547E-24</v>
      </c>
      <c r="L187">
        <v>6.8442437923250573E-24</v>
      </c>
      <c r="M187">
        <v>5.5167394468704505E-24</v>
      </c>
      <c r="N187">
        <v>4.5052005943536404E-24</v>
      </c>
      <c r="O187">
        <v>3.7120470127326151E-24</v>
      </c>
      <c r="P187">
        <v>3.0957729221972636E-24</v>
      </c>
      <c r="Q187">
        <v>2.60749914000688E-24</v>
      </c>
      <c r="R187">
        <v>2.1929697671054534E-24</v>
      </c>
      <c r="S187">
        <v>1.8537539740767912E-24</v>
      </c>
    </row>
    <row r="188" spans="1:19">
      <c r="A188">
        <v>1.709773688137279E-2</v>
      </c>
      <c r="B188">
        <v>1.6239402503027855E-22</v>
      </c>
      <c r="C188">
        <v>2.6145596360091001E-23</v>
      </c>
      <c r="D188">
        <v>9.7274379164142942E-24</v>
      </c>
      <c r="E188">
        <v>1.039178001182732E-23</v>
      </c>
      <c r="F188">
        <v>8.3524504692387912E-24</v>
      </c>
      <c r="G188">
        <v>1.0158244002041858E-23</v>
      </c>
      <c r="H188">
        <v>1.0176110260336905E-23</v>
      </c>
      <c r="I188">
        <v>1.0129923695607342E-23</v>
      </c>
      <c r="J188">
        <v>1.0173453996983408E-23</v>
      </c>
      <c r="K188">
        <v>9.1747851002865324E-24</v>
      </c>
      <c r="L188">
        <v>7.2279909706546286E-24</v>
      </c>
      <c r="M188">
        <v>5.8260553129548758E-24</v>
      </c>
      <c r="N188">
        <v>4.7578008915304603E-24</v>
      </c>
      <c r="O188">
        <v>3.9201762977473071E-24</v>
      </c>
      <c r="P188">
        <v>3.269348580763733E-24</v>
      </c>
      <c r="Q188">
        <v>2.7536979704162366E-24</v>
      </c>
      <c r="R188">
        <v>2.3159265152611021E-24</v>
      </c>
      <c r="S188">
        <v>1.9576913670824162E-24</v>
      </c>
    </row>
    <row r="189" spans="1:19">
      <c r="A189">
        <v>5.9835861725938813E-2</v>
      </c>
      <c r="B189">
        <v>1.7155833669761807E-22</v>
      </c>
      <c r="C189">
        <v>2.7621059473513164E-23</v>
      </c>
      <c r="D189">
        <v>1.0272562083585705E-23</v>
      </c>
      <c r="E189">
        <v>1.0978710821998816E-23</v>
      </c>
      <c r="F189">
        <v>8.8216892596454647E-24</v>
      </c>
      <c r="G189">
        <v>1.0732516590096989E-23</v>
      </c>
      <c r="H189">
        <v>1.0750382848392036E-23</v>
      </c>
      <c r="I189">
        <v>1.0703237780985772E-23</v>
      </c>
      <c r="J189">
        <v>1.075414781297134E-23</v>
      </c>
      <c r="K189">
        <v>9.6962750716332369E-24</v>
      </c>
      <c r="L189">
        <v>7.6388261851015802E-24</v>
      </c>
      <c r="M189">
        <v>6.1572052401746719E-24</v>
      </c>
      <c r="N189">
        <v>5.0282317979197618E-24</v>
      </c>
      <c r="O189">
        <v>4.1429970617042124E-24</v>
      </c>
      <c r="P189">
        <v>3.4551766387584236E-24</v>
      </c>
      <c r="Q189">
        <v>2.9102167182662541E-24</v>
      </c>
      <c r="R189">
        <v>2.4475625632865615E-24</v>
      </c>
      <c r="S189">
        <v>2.0689655172413793E-24</v>
      </c>
    </row>
    <row r="190" spans="1:19">
      <c r="A190">
        <v>1.1110420293459338E-21</v>
      </c>
      <c r="B190">
        <v>1.8035930561162696E-22</v>
      </c>
      <c r="C190">
        <v>2.9038024049398765E-23</v>
      </c>
      <c r="D190">
        <v>1.080557238037553E-23</v>
      </c>
      <c r="E190">
        <v>1.1541986989946776E-23</v>
      </c>
      <c r="F190">
        <v>9.2752867570385815E-24</v>
      </c>
      <c r="G190">
        <v>1.1283818274629913E-23</v>
      </c>
      <c r="H190">
        <v>1.1303215926493109E-23</v>
      </c>
      <c r="I190">
        <v>1.1249742214889668E-23</v>
      </c>
      <c r="J190">
        <v>1.1304675716440423E-23</v>
      </c>
      <c r="K190">
        <v>1.0194842406876789E-23</v>
      </c>
      <c r="L190">
        <v>8.0316027088036121E-24</v>
      </c>
      <c r="M190">
        <v>6.4737991266375536E-24</v>
      </c>
      <c r="N190">
        <v>5.2867756315007423E-24</v>
      </c>
      <c r="O190">
        <v>4.3560235063663074E-24</v>
      </c>
      <c r="P190">
        <v>3.6328364304676332E-24</v>
      </c>
      <c r="Q190">
        <v>3.0598555211558306E-24</v>
      </c>
      <c r="R190">
        <v>2.5734124113988136E-24</v>
      </c>
      <c r="S190">
        <v>2.1753484959647833E-24</v>
      </c>
    </row>
    <row r="191" spans="1:19">
      <c r="A191">
        <v>1.1650087043024123E-21</v>
      </c>
      <c r="B191">
        <v>1.8911990310859912E-22</v>
      </c>
      <c r="C191">
        <v>3.0448488787780309E-23</v>
      </c>
      <c r="D191">
        <v>1.1326468806783767E-23</v>
      </c>
      <c r="E191">
        <v>1.2102306327616793E-23</v>
      </c>
      <c r="F191">
        <v>9.7236704900938485E-24</v>
      </c>
      <c r="G191">
        <v>1.183256763654926E-23</v>
      </c>
      <c r="H191">
        <v>1.185145482388974E-23</v>
      </c>
      <c r="I191">
        <v>1.1796246648793566E-23</v>
      </c>
      <c r="J191">
        <v>1.1855203619909502E-23</v>
      </c>
      <c r="K191">
        <v>1.0687679083094555E-23</v>
      </c>
      <c r="L191">
        <v>8.4198645598194129E-24</v>
      </c>
      <c r="M191">
        <v>6.7867540029112079E-24</v>
      </c>
      <c r="N191">
        <v>5.5423476968796425E-24</v>
      </c>
      <c r="O191">
        <v>4.5666013712047017E-24</v>
      </c>
      <c r="P191">
        <v>3.8084541556054725E-24</v>
      </c>
      <c r="Q191">
        <v>3.2077743378052974E-24</v>
      </c>
      <c r="R191">
        <v>2.6978157095327642E-24</v>
      </c>
      <c r="S191">
        <v>2.2805086818292976E-24</v>
      </c>
    </row>
    <row r="192" spans="1:19">
      <c r="A192">
        <v>1.2341457348918177E-21</v>
      </c>
      <c r="B192">
        <v>2.0034315704481225E-22</v>
      </c>
      <c r="C192">
        <v>3.2255443613909653E-23</v>
      </c>
      <c r="D192">
        <v>1.1998788612961841E-23</v>
      </c>
      <c r="E192">
        <v>1.282081608515671E-23</v>
      </c>
      <c r="F192">
        <v>1.0302398331595411E-23</v>
      </c>
      <c r="G192">
        <v>1.2534456355283308E-23</v>
      </c>
      <c r="H192">
        <v>1.2554364471669218E-23</v>
      </c>
      <c r="I192">
        <v>1.2497422148896679E-23</v>
      </c>
      <c r="J192">
        <v>1.2556561085972849E-23</v>
      </c>
      <c r="K192">
        <v>1.1323782234957019E-23</v>
      </c>
      <c r="L192">
        <v>8.9209932279909715E-24</v>
      </c>
      <c r="M192">
        <v>7.1906841339155741E-24</v>
      </c>
      <c r="N192">
        <v>5.8722139673105491E-24</v>
      </c>
      <c r="O192">
        <v>4.8383937316356517E-24</v>
      </c>
      <c r="P192">
        <v>4.0351235450275677E-24</v>
      </c>
      <c r="Q192">
        <v>3.3986928104575159E-24</v>
      </c>
      <c r="R192">
        <v>2.8583827571242584E-24</v>
      </c>
      <c r="S192">
        <v>2.4162386891660549E-24</v>
      </c>
    </row>
    <row r="193" spans="1:19">
      <c r="A193">
        <v>1.3031584183039045E-21</v>
      </c>
      <c r="B193">
        <v>2.1154622527250706E-22</v>
      </c>
      <c r="C193">
        <v>3.4059148521286972E-23</v>
      </c>
      <c r="D193">
        <v>1.2677165354330708E-23</v>
      </c>
      <c r="E193">
        <v>1.3543761088113542E-23</v>
      </c>
      <c r="F193">
        <v>1.0886339937434828E-23</v>
      </c>
      <c r="G193">
        <v>1.3241449719244513E-23</v>
      </c>
      <c r="H193">
        <v>1.3261868300153139E-23</v>
      </c>
      <c r="I193">
        <v>1.3198597648999795E-23</v>
      </c>
      <c r="J193">
        <v>1.3265460030165914E-23</v>
      </c>
      <c r="K193">
        <v>1.1959885386819483E-23</v>
      </c>
      <c r="L193">
        <v>9.4221218961625286E-24</v>
      </c>
      <c r="M193">
        <v>7.5946142649199418E-24</v>
      </c>
      <c r="N193">
        <v>6.2020802377414563E-24</v>
      </c>
      <c r="O193">
        <v>5.1101860920666017E-24</v>
      </c>
      <c r="P193">
        <v>4.2617929344496629E-24</v>
      </c>
      <c r="Q193">
        <v>3.5896112831097355E-24</v>
      </c>
      <c r="R193">
        <v>3.018949804715753E-24</v>
      </c>
      <c r="S193">
        <v>2.5519686965028122E-24</v>
      </c>
    </row>
    <row r="194" spans="1:19">
      <c r="A194">
        <v>1.3703058940562049E-21</v>
      </c>
      <c r="B194">
        <v>2.2244650787242632E-22</v>
      </c>
      <c r="C194">
        <v>3.5814104647383819E-23</v>
      </c>
      <c r="D194">
        <v>1.3319200484554815E-23</v>
      </c>
      <c r="E194">
        <v>1.4229745712596094E-23</v>
      </c>
      <c r="F194">
        <v>1.1433785192909279E-23</v>
      </c>
      <c r="G194">
        <v>1.391271056661562E-23</v>
      </c>
      <c r="H194">
        <v>1.3934150076569678E-23</v>
      </c>
      <c r="I194">
        <v>1.3868838935863064E-23</v>
      </c>
      <c r="J194">
        <v>1.3936651583710407E-23</v>
      </c>
      <c r="K194">
        <v>1.2567335243553009E-23</v>
      </c>
      <c r="L194">
        <v>9.9006772009029364E-24</v>
      </c>
      <c r="M194">
        <v>7.9803493449781654E-24</v>
      </c>
      <c r="N194">
        <v>6.5170876671619616E-24</v>
      </c>
      <c r="O194">
        <v>5.3697355533790414E-24</v>
      </c>
      <c r="P194">
        <v>4.4782519910149068E-24</v>
      </c>
      <c r="Q194">
        <v>3.7719298245614041E-24</v>
      </c>
      <c r="R194">
        <v>3.1722841024157385E-24</v>
      </c>
      <c r="S194">
        <v>2.6815847395451208E-24</v>
      </c>
    </row>
    <row r="195" spans="1:19">
      <c r="A195">
        <v>1.4424272569012681E-21</v>
      </c>
      <c r="B195">
        <v>2.341542188130803E-22</v>
      </c>
      <c r="C195">
        <v>3.7699057523561911E-23</v>
      </c>
      <c r="D195">
        <v>1.4021804966686856E-23</v>
      </c>
      <c r="E195">
        <v>1.4991129509166174E-23</v>
      </c>
      <c r="F195">
        <v>1.2043795620437957E-23</v>
      </c>
      <c r="G195">
        <v>1.4650331801939766E-23</v>
      </c>
      <c r="H195">
        <v>1.4673813169984686E-23</v>
      </c>
      <c r="I195">
        <v>1.4611260053619304E-23</v>
      </c>
      <c r="J195">
        <v>1.467571644042232E-23</v>
      </c>
      <c r="K195">
        <v>1.3232091690544412E-23</v>
      </c>
      <c r="L195">
        <v>1.0424379232505644E-23</v>
      </c>
      <c r="M195">
        <v>8.4024745269286743E-24</v>
      </c>
      <c r="N195">
        <v>6.8618127786032679E-24</v>
      </c>
      <c r="O195">
        <v>5.6537708129285018E-24</v>
      </c>
      <c r="P195">
        <v>4.7151317132938534E-24</v>
      </c>
      <c r="Q195">
        <v>3.9714482284141726E-24</v>
      </c>
      <c r="R195">
        <v>3.3400838998987411E-24</v>
      </c>
      <c r="S195">
        <v>2.8234287111763265E-24</v>
      </c>
    </row>
    <row r="196" spans="1:19">
      <c r="A196">
        <v>1.526983337478239E-21</v>
      </c>
      <c r="B196">
        <v>2.4788050060557122E-22</v>
      </c>
      <c r="C196">
        <v>3.9909002274943124E-23</v>
      </c>
      <c r="D196">
        <v>1.4839491217443973E-23</v>
      </c>
      <c r="E196">
        <v>1.5863394441159078E-23</v>
      </c>
      <c r="F196">
        <v>1.2742440041710116E-23</v>
      </c>
      <c r="G196">
        <v>1.5502807554874937E-23</v>
      </c>
      <c r="H196">
        <v>1.5528330781010718E-23</v>
      </c>
      <c r="I196">
        <v>1.5456795215508355E-23</v>
      </c>
      <c r="J196">
        <v>1.5527903469079939E-23</v>
      </c>
      <c r="K196">
        <v>1.4005730659025787E-23</v>
      </c>
      <c r="L196">
        <v>1.1033860045146728E-23</v>
      </c>
      <c r="M196">
        <v>8.8937409024745259E-24</v>
      </c>
      <c r="N196">
        <v>7.2630014858841012E-24</v>
      </c>
      <c r="O196">
        <v>5.9843290891283062E-24</v>
      </c>
      <c r="P196">
        <v>4.9908107004288336E-24</v>
      </c>
      <c r="Q196">
        <v>4.2036463708290334E-24</v>
      </c>
      <c r="R196">
        <v>3.5353681469694774E-24</v>
      </c>
      <c r="S196">
        <v>2.9885057471264364E-24</v>
      </c>
    </row>
    <row r="197" spans="1:19">
      <c r="A197">
        <v>1.61153941805521E-21</v>
      </c>
      <c r="B197">
        <v>2.6160678239806219E-22</v>
      </c>
      <c r="C197">
        <v>4.2118947026324343E-23</v>
      </c>
      <c r="D197">
        <v>1.5669291338582676E-23</v>
      </c>
      <c r="E197">
        <v>1.673565937315198E-23</v>
      </c>
      <c r="F197">
        <v>1.3451511991657979E-23</v>
      </c>
      <c r="G197">
        <v>1.6365492598264423E-23</v>
      </c>
      <c r="H197">
        <v>1.6385911179173046E-23</v>
      </c>
      <c r="I197">
        <v>1.6322953186223965E-23</v>
      </c>
      <c r="J197">
        <v>1.6395173453996982E-23</v>
      </c>
      <c r="K197">
        <v>1.4785100286532951E-23</v>
      </c>
      <c r="L197">
        <v>1.1647855530474041E-23</v>
      </c>
      <c r="M197">
        <v>9.3886462882096056E-24</v>
      </c>
      <c r="N197">
        <v>7.6671619613670126E-24</v>
      </c>
      <c r="O197">
        <v>6.3173359451518121E-24</v>
      </c>
      <c r="P197">
        <v>5.268531754135184E-24</v>
      </c>
      <c r="Q197">
        <v>4.437564499484004E-24</v>
      </c>
      <c r="R197">
        <v>3.7320989440185156E-24</v>
      </c>
      <c r="S197">
        <v>3.154805575935436E-24</v>
      </c>
    </row>
    <row r="198" spans="1:19">
      <c r="A198">
        <v>1.7072867445908977E-21</v>
      </c>
      <c r="B198">
        <v>2.7714977795720632E-22</v>
      </c>
      <c r="C198">
        <v>4.4621384465388367E-23</v>
      </c>
      <c r="D198">
        <v>1.660205935796487E-23</v>
      </c>
      <c r="E198">
        <v>1.7740981667652274E-23</v>
      </c>
      <c r="F198">
        <v>1.4254431699687173E-23</v>
      </c>
      <c r="G198">
        <v>1.7343032159264934E-23</v>
      </c>
      <c r="H198">
        <v>1.7366003062787135E-23</v>
      </c>
      <c r="I198">
        <v>1.7292225201072387E-23</v>
      </c>
      <c r="J198">
        <v>1.7375565610859727E-23</v>
      </c>
      <c r="K198">
        <v>1.5667621776504297E-23</v>
      </c>
      <c r="L198">
        <v>1.2343115124153501E-23</v>
      </c>
      <c r="M198">
        <v>9.9490538573507997E-24</v>
      </c>
      <c r="N198">
        <v>8.12481426448737E-24</v>
      </c>
      <c r="O198">
        <v>6.6944172380019603E-24</v>
      </c>
      <c r="P198">
        <v>5.5830100061262E-24</v>
      </c>
      <c r="Q198">
        <v>4.7024423804609565E-24</v>
      </c>
      <c r="R198">
        <v>3.9548676406769857E-24</v>
      </c>
      <c r="S198">
        <v>3.3431156762044509E-24</v>
      </c>
    </row>
    <row r="199" spans="1:19">
      <c r="A199">
        <v>2.2332753046505845E-2</v>
      </c>
      <c r="B199">
        <v>2.9329834477190149E-22</v>
      </c>
      <c r="C199">
        <v>4.7221319467013329E-23</v>
      </c>
      <c r="D199">
        <v>1.756511205330103E-23</v>
      </c>
      <c r="E199">
        <v>1.8761088113542282E-23</v>
      </c>
      <c r="F199">
        <v>1.5083420229405632E-23</v>
      </c>
      <c r="G199">
        <v>1.8348647269014804E-23</v>
      </c>
      <c r="H199">
        <v>1.8376722817764166E-23</v>
      </c>
      <c r="I199">
        <v>1.829243142916065E-23</v>
      </c>
      <c r="J199">
        <v>1.8378582202111613E-23</v>
      </c>
      <c r="K199">
        <v>1.6573065902578796E-23</v>
      </c>
      <c r="L199">
        <v>1.3056433408577879E-23</v>
      </c>
      <c r="M199">
        <v>1.0524017467248907E-23</v>
      </c>
      <c r="N199">
        <v>8.5943536404160469E-24</v>
      </c>
      <c r="O199">
        <v>7.0812928501469146E-24</v>
      </c>
      <c r="P199">
        <v>5.9056565244026949E-24</v>
      </c>
      <c r="Q199">
        <v>4.9742002063983488E-24</v>
      </c>
      <c r="R199">
        <v>4.1834225372486618E-24</v>
      </c>
      <c r="S199">
        <v>3.536316947909024E-24</v>
      </c>
    </row>
    <row r="200" spans="1:19">
      <c r="A200">
        <v>0.64735140512310363</v>
      </c>
      <c r="B200">
        <v>3.1388776746063784E-22</v>
      </c>
      <c r="C200">
        <v>5.0536236594085148E-23</v>
      </c>
      <c r="D200">
        <v>1.8800726832222894E-23</v>
      </c>
      <c r="E200">
        <v>2.0091661738616202E-23</v>
      </c>
      <c r="F200">
        <v>1.6141814389989572E-23</v>
      </c>
      <c r="G200">
        <v>1.9640122511485452E-23</v>
      </c>
      <c r="H200">
        <v>1.9678407350689127E-23</v>
      </c>
      <c r="I200">
        <v>1.9581356980820787E-23</v>
      </c>
      <c r="J200">
        <v>1.9675716440422322E-23</v>
      </c>
      <c r="K200">
        <v>1.7742120343839539E-23</v>
      </c>
      <c r="L200">
        <v>1.3977426636568849E-23</v>
      </c>
      <c r="M200">
        <v>1.1266375545851526E-23</v>
      </c>
      <c r="N200">
        <v>9.2005943536404154E-24</v>
      </c>
      <c r="O200">
        <v>7.5808031341821745E-24</v>
      </c>
      <c r="P200">
        <v>6.3222381049622213E-24</v>
      </c>
      <c r="Q200">
        <v>5.3250773993808047E-24</v>
      </c>
      <c r="R200">
        <v>4.4785187328222184E-24</v>
      </c>
      <c r="S200">
        <v>3.7857666911225231E-24</v>
      </c>
    </row>
    <row r="201" spans="1:19">
      <c r="A201">
        <v>0.65332006963441924</v>
      </c>
      <c r="B201">
        <v>3.3084376261606783E-22</v>
      </c>
      <c r="C201">
        <v>5.3266168345791356E-23</v>
      </c>
      <c r="D201">
        <v>1.9812235009085401E-23</v>
      </c>
      <c r="E201">
        <v>2.1170904790065047E-23</v>
      </c>
      <c r="F201">
        <v>1.7012513034410847E-23</v>
      </c>
      <c r="G201">
        <v>2.0696784073506893E-23</v>
      </c>
      <c r="H201">
        <v>2.0735068912710568E-23</v>
      </c>
      <c r="I201">
        <v>2.063312023097546E-23</v>
      </c>
      <c r="J201">
        <v>2.07315233785822E-23</v>
      </c>
      <c r="K201">
        <v>1.8693409742120342E-23</v>
      </c>
      <c r="L201">
        <v>1.4726862302483071E-23</v>
      </c>
      <c r="M201">
        <v>1.1870451237263462E-23</v>
      </c>
      <c r="N201">
        <v>9.6939078751857344E-24</v>
      </c>
      <c r="O201">
        <v>7.9872673849167481E-24</v>
      </c>
      <c r="P201">
        <v>6.661221155809679E-24</v>
      </c>
      <c r="Q201">
        <v>5.6105951152390774E-24</v>
      </c>
      <c r="R201">
        <v>4.718646029220309E-24</v>
      </c>
      <c r="S201">
        <v>3.9887503056982144E-24</v>
      </c>
    </row>
    <row r="202" spans="1:19">
      <c r="A202">
        <v>0.75627953245461321</v>
      </c>
      <c r="B202">
        <v>3.5102947113443678E-22</v>
      </c>
      <c r="C202">
        <v>5.6516087097822558E-23</v>
      </c>
      <c r="D202">
        <v>2.1029678982434887E-23</v>
      </c>
      <c r="E202">
        <v>2.2471910112359547E-23</v>
      </c>
      <c r="F202">
        <v>1.8055265901981233E-23</v>
      </c>
      <c r="G202">
        <v>2.1965288412455337E-23</v>
      </c>
      <c r="H202">
        <v>2.200612557427259E-23</v>
      </c>
      <c r="I202">
        <v>2.1901422973809034E-23</v>
      </c>
      <c r="J202">
        <v>2.200603318250377E-23</v>
      </c>
      <c r="K202">
        <v>1.9839541547277936E-23</v>
      </c>
      <c r="L202">
        <v>1.562979683972912E-23</v>
      </c>
      <c r="M202">
        <v>1.2598253275109169E-23</v>
      </c>
      <c r="N202">
        <v>1.0288261515601783E-23</v>
      </c>
      <c r="O202">
        <v>8.4769833496572005E-24</v>
      </c>
      <c r="P202">
        <v>7.0696344700837251E-24</v>
      </c>
      <c r="Q202">
        <v>5.9545923632610942E-24</v>
      </c>
      <c r="R202">
        <v>5.0079560248806595E-24</v>
      </c>
      <c r="S202">
        <v>4.2333088774761554E-24</v>
      </c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9"/>
  <dimension ref="A1:I202"/>
  <sheetViews>
    <sheetView workbookViewId="0">
      <selection activeCell="R189" sqref="R189"/>
    </sheetView>
  </sheetViews>
  <sheetFormatPr defaultRowHeight="16.5"/>
  <sheetData>
    <row r="1" spans="1:9">
      <c r="A1">
        <v>2.4500000000000002</v>
      </c>
      <c r="B1">
        <v>2.5</v>
      </c>
      <c r="C1">
        <v>2.5499999999999998</v>
      </c>
      <c r="D1">
        <v>2.6</v>
      </c>
      <c r="E1">
        <v>2.65</v>
      </c>
      <c r="F1">
        <v>2.7</v>
      </c>
      <c r="G1">
        <v>2.75</v>
      </c>
      <c r="H1">
        <v>2.8</v>
      </c>
      <c r="I1">
        <v>2.85</v>
      </c>
    </row>
    <row r="2" spans="1:9">
      <c r="A2">
        <v>2.9086601737299288E-24</v>
      </c>
      <c r="B2">
        <v>2.8754842280022137E-24</v>
      </c>
      <c r="C2">
        <v>2.8648562807686199E-24</v>
      </c>
      <c r="D2">
        <v>2.8797184900831736E-24</v>
      </c>
      <c r="E2">
        <v>1.7133925633432049E-24</v>
      </c>
      <c r="F2">
        <v>1.0282385466034754E-24</v>
      </c>
      <c r="G2">
        <v>6.868487006991161E-25</v>
      </c>
      <c r="H2">
        <v>4.9637750238322211E-25</v>
      </c>
      <c r="I2">
        <v>3.8118594436310395E-25</v>
      </c>
    </row>
    <row r="3" spans="1:9">
      <c r="A3">
        <v>2.9086601737299288E-24</v>
      </c>
      <c r="B3">
        <v>2.8754842280022137E-24</v>
      </c>
      <c r="C3">
        <v>2.8648562807686199E-24</v>
      </c>
      <c r="D3">
        <v>2.8803582853486886E-24</v>
      </c>
      <c r="E3">
        <v>1.7133925633432049E-24</v>
      </c>
      <c r="F3">
        <v>1.0282385466034754E-24</v>
      </c>
      <c r="G3">
        <v>6.868487006991161E-25</v>
      </c>
      <c r="H3">
        <v>4.9637750238322211E-25</v>
      </c>
      <c r="I3">
        <v>3.8118594436310395E-25</v>
      </c>
    </row>
    <row r="4" spans="1:9">
      <c r="A4">
        <v>2.7717820479073438E-24</v>
      </c>
      <c r="B4">
        <v>2.7393469839513003E-24</v>
      </c>
      <c r="C4">
        <v>2.7282833095124659E-24</v>
      </c>
      <c r="D4">
        <v>2.7434420985284711E-24</v>
      </c>
      <c r="E4">
        <v>1.6321158275748601E-24</v>
      </c>
      <c r="F4">
        <v>9.7946287519747229E-25</v>
      </c>
      <c r="G4">
        <v>6.5426724706503094E-25</v>
      </c>
      <c r="H4">
        <v>4.7283126787416582E-25</v>
      </c>
      <c r="I4">
        <v>3.6310395314787698E-25</v>
      </c>
    </row>
    <row r="5" spans="1:9">
      <c r="A5">
        <v>2.7059752566464855E-24</v>
      </c>
      <c r="B5">
        <v>2.6751521859435528E-24</v>
      </c>
      <c r="C5">
        <v>2.6647609973003016E-24</v>
      </c>
      <c r="D5">
        <v>2.6794625719769673E-24</v>
      </c>
      <c r="E5">
        <v>1.5939453767686738E-24</v>
      </c>
      <c r="F5">
        <v>9.5655608214849932E-25</v>
      </c>
      <c r="G5">
        <v>6.3896583564173594E-25</v>
      </c>
      <c r="H5">
        <v>4.6177311725452811E-25</v>
      </c>
      <c r="I5">
        <v>3.5461200585651539E-25</v>
      </c>
    </row>
    <row r="6" spans="1:9">
      <c r="A6">
        <v>2.6533298236377991E-24</v>
      </c>
      <c r="B6">
        <v>2.6236856668511345E-24</v>
      </c>
      <c r="C6">
        <v>2.6139431475305698E-24</v>
      </c>
      <c r="D6">
        <v>2.6282789507357647E-24</v>
      </c>
      <c r="E6">
        <v>1.5633432050016454E-24</v>
      </c>
      <c r="F6">
        <v>9.3819115323854673E-25</v>
      </c>
      <c r="G6">
        <v>6.2669832475926662E-25</v>
      </c>
      <c r="H6">
        <v>4.5290753098188756E-25</v>
      </c>
      <c r="I6">
        <v>3.478038067349927E-25</v>
      </c>
    </row>
    <row r="7" spans="1:9">
      <c r="A7">
        <v>2.5551460910765989E-24</v>
      </c>
      <c r="B7">
        <v>2.525733259546209E-24</v>
      </c>
      <c r="C7">
        <v>2.515483563601715E-24</v>
      </c>
      <c r="D7">
        <v>2.5297504798464494E-24</v>
      </c>
      <c r="E7">
        <v>1.5051003619611714E-24</v>
      </c>
      <c r="F7">
        <v>9.0323854660347542E-25</v>
      </c>
      <c r="G7">
        <v>6.0335048146682492E-25</v>
      </c>
      <c r="H7">
        <v>4.3603431839847475E-25</v>
      </c>
      <c r="I7">
        <v>3.3484626647144949E-25</v>
      </c>
    </row>
    <row r="8" spans="1:9">
      <c r="A8">
        <v>2.4877599368254802E-24</v>
      </c>
      <c r="B8">
        <v>2.4587714443829553E-24</v>
      </c>
      <c r="C8">
        <v>2.4503731935842462E-24</v>
      </c>
      <c r="D8">
        <v>2.4632117722328856E-24</v>
      </c>
      <c r="E8">
        <v>1.4652846331029943E-24</v>
      </c>
      <c r="F8">
        <v>8.7934439178515017E-25</v>
      </c>
      <c r="G8">
        <v>5.8738952644769814E-25</v>
      </c>
      <c r="H8">
        <v>4.2449952335557672E-25</v>
      </c>
      <c r="I8">
        <v>3.2598828696925332E-25</v>
      </c>
    </row>
    <row r="9" spans="1:9">
      <c r="A9">
        <v>2.362200579099763E-24</v>
      </c>
      <c r="B9">
        <v>2.3348090758162701E-24</v>
      </c>
      <c r="C9">
        <v>2.3265046847705255E-24</v>
      </c>
      <c r="D9">
        <v>2.3390914907229686E-24</v>
      </c>
      <c r="E9">
        <v>1.3912471207634089E-24</v>
      </c>
      <c r="F9">
        <v>8.3491311216429693E-25</v>
      </c>
      <c r="G9">
        <v>5.5771006463527229E-25</v>
      </c>
      <c r="H9">
        <v>4.0305052430886555E-25</v>
      </c>
      <c r="I9">
        <v>3.0951683748169838E-25</v>
      </c>
    </row>
    <row r="10" spans="1:9">
      <c r="A10">
        <v>2.323769413003422E-24</v>
      </c>
      <c r="B10">
        <v>2.2971776425013837E-24</v>
      </c>
      <c r="C10">
        <v>2.2883912974432267E-24</v>
      </c>
      <c r="D10">
        <v>2.3007037747920668E-24</v>
      </c>
      <c r="E10">
        <v>1.368542283645936E-24</v>
      </c>
      <c r="F10">
        <v>8.2128751974723531E-25</v>
      </c>
      <c r="G10">
        <v>5.4860836301279509E-25</v>
      </c>
      <c r="H10">
        <v>3.9647283126787416E-25</v>
      </c>
      <c r="I10">
        <v>3.0446559297218155E-25</v>
      </c>
    </row>
    <row r="11" spans="1:9">
      <c r="A11">
        <v>2.2287444064227425E-24</v>
      </c>
      <c r="B11">
        <v>2.2030990592141673E-24</v>
      </c>
      <c r="C11">
        <v>2.194695886930284E-24</v>
      </c>
      <c r="D11">
        <v>2.2066538707613564E-24</v>
      </c>
      <c r="E11">
        <v>1.3126028298782494E-24</v>
      </c>
      <c r="F11">
        <v>7.8771721958925744E-25</v>
      </c>
      <c r="G11">
        <v>5.261838807545178E-25</v>
      </c>
      <c r="H11">
        <v>3.8026692087702574E-25</v>
      </c>
      <c r="I11">
        <v>2.9202049780380672E-25</v>
      </c>
    </row>
    <row r="12" spans="1:9">
      <c r="A12">
        <v>2.1100289549881544E-24</v>
      </c>
      <c r="B12">
        <v>2.0857775318206972E-24</v>
      </c>
      <c r="C12">
        <v>2.0771796093377798E-24</v>
      </c>
      <c r="D12">
        <v>2.08893154190659E-24</v>
      </c>
      <c r="E12">
        <v>1.24284304047384E-24</v>
      </c>
      <c r="F12">
        <v>7.4585308056872031E-25</v>
      </c>
      <c r="G12">
        <v>4.9821923229125441E-25</v>
      </c>
      <c r="H12">
        <v>3.6005719733079119E-25</v>
      </c>
      <c r="I12">
        <v>2.7650073206442166E-25</v>
      </c>
    </row>
    <row r="13" spans="1:9">
      <c r="A13">
        <v>2.040273756251645E-24</v>
      </c>
      <c r="B13">
        <v>2.0166021029330379E-24</v>
      </c>
      <c r="C13">
        <v>2.008893123709703E-24</v>
      </c>
      <c r="D13">
        <v>2.0198336532309663E-24</v>
      </c>
      <c r="E13">
        <v>1.2017110891740704E-24</v>
      </c>
      <c r="F13">
        <v>7.2116903633491309E-25</v>
      </c>
      <c r="G13">
        <v>4.8173064239546229E-25</v>
      </c>
      <c r="H13">
        <v>3.4814108674928501E-25</v>
      </c>
      <c r="I13">
        <v>2.6734992679355783E-25</v>
      </c>
    </row>
    <row r="14" spans="1:9">
      <c r="A14">
        <v>1.9605159252434851E-24</v>
      </c>
      <c r="B14">
        <v>1.9380188157166574E-24</v>
      </c>
      <c r="C14">
        <v>1.9310782912498013E-24</v>
      </c>
      <c r="D14">
        <v>1.9411388355726166E-24</v>
      </c>
      <c r="E14">
        <v>1.1546561368871338E-24</v>
      </c>
      <c r="F14">
        <v>6.9293048973143758E-25</v>
      </c>
      <c r="G14">
        <v>4.628676955546761E-25</v>
      </c>
      <c r="H14">
        <v>3.345090562440419E-25</v>
      </c>
      <c r="I14">
        <v>2.568814055636896E-25</v>
      </c>
    </row>
    <row r="15" spans="1:9">
      <c r="A15">
        <v>1.8599631481968938E-24</v>
      </c>
      <c r="B15">
        <v>1.8384061981184283E-24</v>
      </c>
      <c r="C15">
        <v>1.8310306495156425E-24</v>
      </c>
      <c r="D15">
        <v>1.8413307741522714E-24</v>
      </c>
      <c r="E15">
        <v>1.0954261270154657E-24</v>
      </c>
      <c r="F15">
        <v>6.5738546603475517E-25</v>
      </c>
      <c r="G15">
        <v>4.3912412610473551E-25</v>
      </c>
      <c r="H15">
        <v>3.1734985700667307E-25</v>
      </c>
      <c r="I15">
        <v>2.4370424597364571E-25</v>
      </c>
    </row>
    <row r="16" spans="1:9">
      <c r="A16">
        <v>1.7817846801789942E-24</v>
      </c>
      <c r="B16">
        <v>1.7609297177642504E-24</v>
      </c>
      <c r="C16">
        <v>1.7548038748610448E-24</v>
      </c>
      <c r="D16">
        <v>1.7639155470249521E-24</v>
      </c>
      <c r="E16">
        <v>1.0493583415597235E-24</v>
      </c>
      <c r="F16">
        <v>6.2973933649289095E-25</v>
      </c>
      <c r="G16">
        <v>4.2065690542144831E-25</v>
      </c>
      <c r="H16">
        <v>3.0400381315538606E-25</v>
      </c>
      <c r="I16">
        <v>2.3345534407027816E-25</v>
      </c>
    </row>
    <row r="17" spans="1:9">
      <c r="A17">
        <v>1.6983416688602263E-24</v>
      </c>
      <c r="B17">
        <v>1.6784726065301607E-24</v>
      </c>
      <c r="C17">
        <v>1.672224868985231E-24</v>
      </c>
      <c r="D17">
        <v>1.6813819577735125E-24</v>
      </c>
      <c r="E17">
        <v>1.000329055610398E-24</v>
      </c>
      <c r="F17">
        <v>6.0031595576619267E-25</v>
      </c>
      <c r="G17">
        <v>4.0100250626566411E-25</v>
      </c>
      <c r="H17">
        <v>2.8979980934223069E-25</v>
      </c>
      <c r="I17">
        <v>2.2254758418740847E-25</v>
      </c>
    </row>
    <row r="18" spans="1:9">
      <c r="A18">
        <v>1.6204264280073702E-24</v>
      </c>
      <c r="B18">
        <v>1.6015495296070835E-24</v>
      </c>
      <c r="C18">
        <v>1.5959980943306333E-24</v>
      </c>
      <c r="D18">
        <v>1.6046065259117082E-24</v>
      </c>
      <c r="E18">
        <v>9.54261270154656E-25</v>
      </c>
      <c r="F18">
        <v>5.7266982622432854E-25</v>
      </c>
      <c r="G18">
        <v>3.8253528558237695E-25</v>
      </c>
      <c r="H18">
        <v>2.7645376549094373E-25</v>
      </c>
      <c r="I18">
        <v>2.1229868228404096E-25</v>
      </c>
    </row>
    <row r="19" spans="1:9">
      <c r="A19">
        <v>1.5596209528823375E-24</v>
      </c>
      <c r="B19">
        <v>1.5417819590481461E-24</v>
      </c>
      <c r="C19">
        <v>1.5358107035096076E-24</v>
      </c>
      <c r="D19">
        <v>1.5438259756877799E-24</v>
      </c>
      <c r="E19">
        <v>9.1872326423165514E-25</v>
      </c>
      <c r="F19">
        <v>5.5134281200631913E-25</v>
      </c>
      <c r="G19">
        <v>3.6828914391241263E-25</v>
      </c>
      <c r="H19">
        <v>2.6615824594852241E-25</v>
      </c>
      <c r="I19">
        <v>2.0439238653001465E-25</v>
      </c>
    </row>
    <row r="20" spans="1:9">
      <c r="A20">
        <v>1.5017109765727822E-24</v>
      </c>
      <c r="B20">
        <v>1.4842280022136139E-24</v>
      </c>
      <c r="C20">
        <v>1.4786406225186596E-24</v>
      </c>
      <c r="D20">
        <v>1.4868841970569418E-24</v>
      </c>
      <c r="E20">
        <v>8.8450148075024681E-25</v>
      </c>
      <c r="F20">
        <v>5.308056872037915E-25</v>
      </c>
      <c r="G20">
        <v>3.5457063711911356E-25</v>
      </c>
      <c r="H20">
        <v>2.5624404194470927E-25</v>
      </c>
      <c r="I20">
        <v>1.9677891654465593E-25</v>
      </c>
    </row>
    <row r="21" spans="1:9">
      <c r="A21">
        <v>3.2403264016846533E-5</v>
      </c>
      <c r="B21">
        <v>1.4233536247924737E-24</v>
      </c>
      <c r="C21">
        <v>9.3520724154359211E-5</v>
      </c>
      <c r="D21">
        <v>1.4254638515674985E-24</v>
      </c>
      <c r="E21">
        <v>8.4797630799605133E-25</v>
      </c>
      <c r="F21">
        <v>5.0888625592417061E-25</v>
      </c>
      <c r="G21">
        <v>3.3992876929165013E-25</v>
      </c>
      <c r="H21">
        <v>5.807435653002859E-5</v>
      </c>
      <c r="I21">
        <v>3.5292825768667643E-4</v>
      </c>
    </row>
    <row r="22" spans="1:9">
      <c r="A22">
        <v>5.2619110292182145E-5</v>
      </c>
      <c r="B22">
        <v>1.3685666851134476E-24</v>
      </c>
      <c r="C22">
        <v>3.4476734953152292E-4</v>
      </c>
      <c r="D22">
        <v>4.950735764555343E-4</v>
      </c>
      <c r="E22">
        <v>8.1572885817703188E-25</v>
      </c>
      <c r="F22">
        <v>4.8953396524486575E-25</v>
      </c>
      <c r="G22">
        <v>2.9046299960427382E-4</v>
      </c>
      <c r="H22">
        <v>6.9590085795996181E-4</v>
      </c>
      <c r="I22">
        <v>1.2408491947291361E-3</v>
      </c>
    </row>
    <row r="23" spans="1:9">
      <c r="A23">
        <v>4.9591997894182674E-4</v>
      </c>
      <c r="B23">
        <v>1.3359158826784727E-4</v>
      </c>
      <c r="C23">
        <v>1.3993965380339844E-3</v>
      </c>
      <c r="D23">
        <v>9.0339091490722974E-4</v>
      </c>
      <c r="E23">
        <v>4.0572556762092792E-4</v>
      </c>
      <c r="F23">
        <v>6.1433649289099521E-4</v>
      </c>
      <c r="G23">
        <v>1.1618519984170953E-3</v>
      </c>
      <c r="H23">
        <v>1.8512869399428026E-3</v>
      </c>
      <c r="I23">
        <v>2.5431918008784775E-3</v>
      </c>
    </row>
    <row r="24" spans="1:9">
      <c r="A24">
        <v>1.759147143985259E-3</v>
      </c>
      <c r="B24">
        <v>1.2833425567238517E-3</v>
      </c>
      <c r="C24">
        <v>2.0660632047006509E-3</v>
      </c>
      <c r="D24">
        <v>1.581573896353167E-3</v>
      </c>
      <c r="E24">
        <v>1.496215860480421E-3</v>
      </c>
      <c r="F24">
        <v>1.9445102685624013E-3</v>
      </c>
      <c r="G24">
        <v>2.5972826803851734E-3</v>
      </c>
      <c r="H24">
        <v>3.555767397521449E-3</v>
      </c>
      <c r="I24">
        <v>4.484626647144949E-3</v>
      </c>
    </row>
    <row r="25" spans="1:9">
      <c r="A25">
        <v>3.5719926296393784E-3</v>
      </c>
      <c r="B25">
        <v>2.282235749861649E-3</v>
      </c>
      <c r="C25">
        <v>3.0538351595998095E-3</v>
      </c>
      <c r="D25">
        <v>3.0268714011516314E-3</v>
      </c>
      <c r="E25">
        <v>3.3761105626850937E-3</v>
      </c>
      <c r="F25">
        <v>4.133096366508689E-3</v>
      </c>
      <c r="G25">
        <v>4.947896055929297E-3</v>
      </c>
      <c r="H25">
        <v>6.213536701620591E-3</v>
      </c>
      <c r="I25">
        <v>7.745241581259151E-3</v>
      </c>
    </row>
    <row r="26" spans="1:9">
      <c r="A26">
        <v>5.0434324822321661E-3</v>
      </c>
      <c r="B26">
        <v>4.042612064194798E-3</v>
      </c>
      <c r="C26">
        <v>5.6312529776083847E-3</v>
      </c>
      <c r="D26">
        <v>5.4862444017914269E-3</v>
      </c>
      <c r="E26">
        <v>6.0513326752221121E-3</v>
      </c>
      <c r="F26">
        <v>6.8898104265402837E-3</v>
      </c>
      <c r="G26">
        <v>8.128215275029679E-3</v>
      </c>
      <c r="H26">
        <v>9.8951382268827447E-3</v>
      </c>
      <c r="I26">
        <v>1.2064421669106882E-2</v>
      </c>
    </row>
    <row r="27" spans="1:9">
      <c r="A27">
        <v>7.357199262963938E-3</v>
      </c>
      <c r="B27">
        <v>6.8732706142778091E-3</v>
      </c>
      <c r="C27">
        <v>8.2531364141654757E-3</v>
      </c>
      <c r="D27">
        <v>8.4900831733845175E-3</v>
      </c>
      <c r="E27">
        <v>9.8288910825929578E-3</v>
      </c>
      <c r="F27">
        <v>1.0853080568720379E-2</v>
      </c>
      <c r="G27">
        <v>1.2684342435034954E-2</v>
      </c>
      <c r="H27">
        <v>1.5042897998093422E-2</v>
      </c>
      <c r="I27">
        <v>1.7972181551976572E-2</v>
      </c>
    </row>
    <row r="28" spans="1:9">
      <c r="A28">
        <v>1.1655698868123189E-2</v>
      </c>
      <c r="B28">
        <v>1.1571665744327615E-2</v>
      </c>
      <c r="C28">
        <v>1.2323328569159917E-2</v>
      </c>
      <c r="D28">
        <v>1.3230966090850928E-2</v>
      </c>
      <c r="E28">
        <v>1.5024679170779862E-2</v>
      </c>
      <c r="F28">
        <v>1.6672590837282782E-2</v>
      </c>
      <c r="G28">
        <v>1.9021237303785778E-2</v>
      </c>
      <c r="H28">
        <v>2.2402287893231648E-2</v>
      </c>
      <c r="I28">
        <v>2.6500732064421668E-2</v>
      </c>
    </row>
    <row r="29" spans="1:9">
      <c r="A29">
        <v>1.7441431955777832E-2</v>
      </c>
      <c r="B29">
        <v>1.7271721084670726E-2</v>
      </c>
      <c r="C29">
        <v>1.8882007305065902E-2</v>
      </c>
      <c r="D29">
        <v>1.9852847088931543E-2</v>
      </c>
      <c r="E29">
        <v>2.2448173741362289E-2</v>
      </c>
      <c r="F29">
        <v>2.4842022116903631E-2</v>
      </c>
      <c r="G29">
        <v>2.8149320670096293E-2</v>
      </c>
      <c r="H29">
        <v>3.2726406101048613E-2</v>
      </c>
      <c r="I29">
        <v>3.82796486090776E-2</v>
      </c>
    </row>
    <row r="30" spans="1:9">
      <c r="A30">
        <v>2.5656751776783362E-2</v>
      </c>
      <c r="B30">
        <v>2.557830658550083E-2</v>
      </c>
      <c r="C30">
        <v>2.6901699221851674E-2</v>
      </c>
      <c r="D30">
        <v>2.8790786948176585E-2</v>
      </c>
      <c r="E30">
        <v>3.2645607107601185E-2</v>
      </c>
      <c r="F30">
        <v>3.6038704581358612E-2</v>
      </c>
      <c r="G30">
        <v>4.0680648990898294E-2</v>
      </c>
      <c r="H30">
        <v>4.6749285033365111E-2</v>
      </c>
      <c r="I30">
        <v>5.4209370424597364E-2</v>
      </c>
    </row>
    <row r="31" spans="1:9">
      <c r="A31">
        <v>3.6904448539089231E-2</v>
      </c>
      <c r="B31">
        <v>3.6995019369120086E-2</v>
      </c>
      <c r="C31">
        <v>3.8891535651897728E-2</v>
      </c>
      <c r="D31">
        <v>4.1682661548304543E-2</v>
      </c>
      <c r="E31">
        <v>4.656136887133925E-2</v>
      </c>
      <c r="F31">
        <v>5.1579778830963659E-2</v>
      </c>
      <c r="G31">
        <v>5.7762828122938925E-2</v>
      </c>
      <c r="H31">
        <v>6.5653002859866541E-2</v>
      </c>
      <c r="I31">
        <v>7.5475841874084917E-2</v>
      </c>
    </row>
    <row r="32" spans="1:9">
      <c r="A32">
        <v>5.4830218478546987E-2</v>
      </c>
      <c r="B32">
        <v>5.5672385168788044E-2</v>
      </c>
      <c r="C32">
        <v>5.7868826425281877E-2</v>
      </c>
      <c r="D32">
        <v>6.1957773512476007E-2</v>
      </c>
      <c r="E32">
        <v>6.8673905890095421E-2</v>
      </c>
      <c r="F32">
        <v>7.5967614533965236E-2</v>
      </c>
      <c r="G32">
        <v>8.4421580266455604E-2</v>
      </c>
      <c r="H32">
        <v>9.5271687321258333E-2</v>
      </c>
      <c r="I32">
        <v>0.10841874084919473</v>
      </c>
    </row>
    <row r="33" spans="1:9">
      <c r="A33">
        <v>7.7599368254803888E-2</v>
      </c>
      <c r="B33">
        <v>7.8251245157719973E-2</v>
      </c>
      <c r="C33">
        <v>8.164205177068444E-2</v>
      </c>
      <c r="D33">
        <v>8.777991042866283E-2</v>
      </c>
      <c r="E33">
        <v>9.7005593945376764E-2</v>
      </c>
      <c r="F33">
        <v>0.1070695102685624</v>
      </c>
      <c r="G33">
        <v>0.11826935760453765</v>
      </c>
      <c r="H33">
        <v>0.13241182078169686</v>
      </c>
      <c r="I33">
        <v>0.1492679355783309</v>
      </c>
    </row>
    <row r="34" spans="1:9">
      <c r="A34">
        <v>0.10813371939984205</v>
      </c>
      <c r="B34">
        <v>0.10902047592695074</v>
      </c>
      <c r="C34">
        <v>0.1138319834841988</v>
      </c>
      <c r="D34">
        <v>0.12220089571337173</v>
      </c>
      <c r="E34">
        <v>0.13504442250740373</v>
      </c>
      <c r="F34">
        <v>0.14818325434439178</v>
      </c>
      <c r="G34">
        <v>0.16303917688959238</v>
      </c>
      <c r="H34">
        <v>0.18102955195424214</v>
      </c>
      <c r="I34">
        <v>0.20204978038067348</v>
      </c>
    </row>
    <row r="35" spans="1:9">
      <c r="A35">
        <v>0.15277704659120819</v>
      </c>
      <c r="B35">
        <v>0.15384615384615383</v>
      </c>
      <c r="C35">
        <v>0.16102906145783707</v>
      </c>
      <c r="D35">
        <v>0.17344849648112606</v>
      </c>
      <c r="E35">
        <v>0.19072063178677195</v>
      </c>
      <c r="F35">
        <v>0.20892575039494471</v>
      </c>
      <c r="G35">
        <v>0.22859781031526183</v>
      </c>
      <c r="H35">
        <v>0.25147759771210676</v>
      </c>
      <c r="I35">
        <v>0.27730600292825769</v>
      </c>
    </row>
    <row r="36" spans="1:9">
      <c r="A36">
        <v>0.21310871281916294</v>
      </c>
      <c r="B36">
        <v>0.21472053126729387</v>
      </c>
      <c r="C36">
        <v>0.22407495632841035</v>
      </c>
      <c r="D36">
        <v>0.24133077415227128</v>
      </c>
      <c r="E36">
        <v>0.26439618295491935</v>
      </c>
      <c r="F36">
        <v>0.28811216429699843</v>
      </c>
      <c r="G36">
        <v>0.31301939058171746</v>
      </c>
      <c r="H36">
        <v>0.34041944709246902</v>
      </c>
      <c r="I36">
        <v>0.37035139092240116</v>
      </c>
    </row>
    <row r="37" spans="1:9">
      <c r="A37">
        <v>0.29613056067386151</v>
      </c>
      <c r="B37">
        <v>0.29762036524626456</v>
      </c>
      <c r="C37">
        <v>0.30998888359536286</v>
      </c>
      <c r="D37">
        <v>0.33288547664747281</v>
      </c>
      <c r="E37">
        <v>0.36229022704837116</v>
      </c>
      <c r="F37">
        <v>0.39178515007898895</v>
      </c>
      <c r="G37">
        <v>0.4215802664556127</v>
      </c>
      <c r="H37">
        <v>0.45224022878932313</v>
      </c>
      <c r="I37">
        <v>0.4841874084919473</v>
      </c>
    </row>
    <row r="38" spans="1:9">
      <c r="A38">
        <v>0.40879178731245064</v>
      </c>
      <c r="B38">
        <v>0.40852241283895957</v>
      </c>
      <c r="C38">
        <v>0.42432904557725898</v>
      </c>
      <c r="D38">
        <v>0.45329494561740247</v>
      </c>
      <c r="E38">
        <v>0.48897663705166172</v>
      </c>
      <c r="F38">
        <v>0.52211690363349128</v>
      </c>
      <c r="G38">
        <v>0.55441234665611394</v>
      </c>
      <c r="H38">
        <v>0.58560533841754048</v>
      </c>
      <c r="I38">
        <v>0.6150073206442167</v>
      </c>
    </row>
    <row r="39" spans="1:9">
      <c r="A39">
        <v>0.56462226901816259</v>
      </c>
      <c r="B39">
        <v>0.56336469286109569</v>
      </c>
      <c r="C39">
        <v>0.58075273939971417</v>
      </c>
      <c r="D39">
        <v>0.61305182341650677</v>
      </c>
      <c r="E39">
        <v>0.65185916419874956</v>
      </c>
      <c r="F39">
        <v>0.68542654028436023</v>
      </c>
      <c r="G39">
        <v>0.71586861891571019</v>
      </c>
      <c r="H39">
        <v>0.74242135367016204</v>
      </c>
      <c r="I39">
        <v>0.75988286969253305</v>
      </c>
    </row>
    <row r="40" spans="1:9">
      <c r="A40">
        <v>0.73150829165569875</v>
      </c>
      <c r="B40">
        <v>0.72938572219147757</v>
      </c>
      <c r="C40">
        <v>0.74495791646815945</v>
      </c>
      <c r="D40">
        <v>0.7760716570697378</v>
      </c>
      <c r="E40">
        <v>0.81178019085225406</v>
      </c>
      <c r="F40">
        <v>0.83925750394944709</v>
      </c>
      <c r="G40">
        <v>0.86175966231367895</v>
      </c>
      <c r="H40">
        <v>0.87883698760724493</v>
      </c>
      <c r="I40">
        <v>0.88213762811127383</v>
      </c>
    </row>
    <row r="41" spans="1:9">
      <c r="A41">
        <v>0.87786259541984724</v>
      </c>
      <c r="B41">
        <v>0.87437742114001105</v>
      </c>
      <c r="C41">
        <v>0.88613625535969509</v>
      </c>
      <c r="D41">
        <v>0.90978886756237998</v>
      </c>
      <c r="E41">
        <v>0.93583415597235919</v>
      </c>
      <c r="F41">
        <v>0.95082938388625604</v>
      </c>
      <c r="G41">
        <v>0.96240601503759393</v>
      </c>
      <c r="H41">
        <v>0.96854146806482366</v>
      </c>
      <c r="I41">
        <v>0.96486090775988287</v>
      </c>
    </row>
    <row r="42" spans="1:9">
      <c r="A42">
        <v>0.97341405633061318</v>
      </c>
      <c r="B42">
        <v>0.97122302158273377</v>
      </c>
      <c r="C42">
        <v>0.97697316182309024</v>
      </c>
      <c r="D42">
        <v>0.98848368522072938</v>
      </c>
      <c r="E42">
        <v>1</v>
      </c>
      <c r="F42">
        <v>1</v>
      </c>
      <c r="G42">
        <v>1</v>
      </c>
      <c r="H42">
        <v>1</v>
      </c>
      <c r="I42">
        <v>1</v>
      </c>
    </row>
    <row r="43" spans="1:9">
      <c r="A43">
        <v>1</v>
      </c>
      <c r="B43">
        <v>1</v>
      </c>
      <c r="C43">
        <v>1</v>
      </c>
      <c r="D43">
        <v>1</v>
      </c>
      <c r="E43">
        <v>0.99539322145442577</v>
      </c>
      <c r="F43">
        <v>0.98281990521327023</v>
      </c>
      <c r="G43">
        <v>0.97361825616673259</v>
      </c>
      <c r="H43">
        <v>0.97235462345090551</v>
      </c>
      <c r="I43">
        <v>0.98462664714494874</v>
      </c>
    </row>
    <row r="44" spans="1:9">
      <c r="A44">
        <v>0.94709133982626992</v>
      </c>
      <c r="B44">
        <v>0.95019369120088537</v>
      </c>
      <c r="C44">
        <v>0.94680006352231205</v>
      </c>
      <c r="D44">
        <v>0.93666026871401153</v>
      </c>
      <c r="E44">
        <v>0.92135570911484033</v>
      </c>
      <c r="F44">
        <v>0.90106635071090035</v>
      </c>
      <c r="G44">
        <v>0.88655850151695026</v>
      </c>
      <c r="H44">
        <v>0.88589132507149659</v>
      </c>
      <c r="I44">
        <v>0.90849194729136162</v>
      </c>
    </row>
    <row r="45" spans="1:9">
      <c r="A45">
        <v>0.83206106870229002</v>
      </c>
      <c r="B45">
        <v>0.8378527946873271</v>
      </c>
      <c r="C45">
        <v>0.83118945529617272</v>
      </c>
      <c r="D45">
        <v>0.81637875879718491</v>
      </c>
      <c r="E45">
        <v>0.79697268838433699</v>
      </c>
      <c r="F45">
        <v>0.77488151658767768</v>
      </c>
      <c r="G45">
        <v>0.75992613111726681</v>
      </c>
      <c r="H45">
        <v>0.75853193517635842</v>
      </c>
      <c r="I45">
        <v>0.78038067349926798</v>
      </c>
    </row>
    <row r="46" spans="1:9">
      <c r="A46">
        <v>0.67780994998683852</v>
      </c>
      <c r="B46">
        <v>0.68456004427227446</v>
      </c>
      <c r="C46">
        <v>0.67905351754803867</v>
      </c>
      <c r="D46">
        <v>0.66474728087012158</v>
      </c>
      <c r="E46">
        <v>0.64758144126357353</v>
      </c>
      <c r="F46">
        <v>0.62875197472353872</v>
      </c>
      <c r="G46">
        <v>0.61667326210262496</v>
      </c>
      <c r="H46">
        <v>0.61611058150619635</v>
      </c>
      <c r="I46">
        <v>0.63081991215226951</v>
      </c>
    </row>
    <row r="47" spans="1:9">
      <c r="A47">
        <v>0.54935509344564359</v>
      </c>
      <c r="B47">
        <v>0.55561704482567797</v>
      </c>
      <c r="C47">
        <v>0.55105605844052719</v>
      </c>
      <c r="D47">
        <v>0.54075495841330778</v>
      </c>
      <c r="E47">
        <v>0.52747614346824612</v>
      </c>
      <c r="F47">
        <v>0.51402053712480256</v>
      </c>
      <c r="G47">
        <v>0.50560612056456933</v>
      </c>
      <c r="H47">
        <v>0.50638703527168738</v>
      </c>
      <c r="I47">
        <v>0.51764275256222547</v>
      </c>
    </row>
    <row r="48" spans="1:9">
      <c r="A48">
        <v>0.44880231639905233</v>
      </c>
      <c r="B48">
        <v>0.45439955727725512</v>
      </c>
      <c r="C48">
        <v>0.4513260282674289</v>
      </c>
      <c r="D48">
        <v>0.44420985284708897</v>
      </c>
      <c r="E48">
        <v>0.43599868377755835</v>
      </c>
      <c r="F48">
        <v>0.42634281200631907</v>
      </c>
      <c r="G48">
        <v>0.42078881414061464</v>
      </c>
      <c r="H48">
        <v>0.42221163012392759</v>
      </c>
      <c r="I48">
        <v>0.43140556368960464</v>
      </c>
    </row>
    <row r="49" spans="1:9">
      <c r="A49">
        <v>0.37430902869176097</v>
      </c>
      <c r="B49">
        <v>0.3790813503043719</v>
      </c>
      <c r="C49">
        <v>0.37732253454025727</v>
      </c>
      <c r="D49">
        <v>0.37319257837492009</v>
      </c>
      <c r="E49">
        <v>0.36722606120434353</v>
      </c>
      <c r="F49">
        <v>0.36018957345971564</v>
      </c>
      <c r="G49">
        <v>0.35562590687244428</v>
      </c>
      <c r="H49">
        <v>0.3569113441372736</v>
      </c>
      <c r="I49">
        <v>0.36412884333821377</v>
      </c>
    </row>
    <row r="50" spans="1:9">
      <c r="A50">
        <v>0.31745196104237955</v>
      </c>
      <c r="B50">
        <v>0.32147205312672938</v>
      </c>
      <c r="C50">
        <v>0.32062887089090042</v>
      </c>
      <c r="D50">
        <v>0.31733845169545744</v>
      </c>
      <c r="E50">
        <v>0.31227377426785125</v>
      </c>
      <c r="F50">
        <v>0.30627962085308053</v>
      </c>
      <c r="G50">
        <v>0.30193905817174516</v>
      </c>
      <c r="H50">
        <v>0.30247855100095328</v>
      </c>
      <c r="I50">
        <v>0.30812591508052706</v>
      </c>
    </row>
    <row r="51" spans="1:9">
      <c r="A51">
        <v>0.27033429849960511</v>
      </c>
      <c r="B51">
        <v>0.27432208079690096</v>
      </c>
      <c r="C51">
        <v>0.27378116563442906</v>
      </c>
      <c r="D51">
        <v>0.27050543825975687</v>
      </c>
      <c r="E51">
        <v>0.26548206646923328</v>
      </c>
      <c r="F51">
        <v>0.25987361769352291</v>
      </c>
      <c r="G51">
        <v>0.25563909774436089</v>
      </c>
      <c r="H51">
        <v>0.2555767397521449</v>
      </c>
      <c r="I51">
        <v>0.26017569546120056</v>
      </c>
    </row>
    <row r="52" spans="1:9">
      <c r="A52">
        <v>0.22566464859173466</v>
      </c>
      <c r="B52">
        <v>0.22888765910348643</v>
      </c>
      <c r="C52">
        <v>0.22852151818326186</v>
      </c>
      <c r="D52">
        <v>0.22539987204094691</v>
      </c>
      <c r="E52">
        <v>0.22043435340572556</v>
      </c>
      <c r="F52">
        <v>0.2150473933649289</v>
      </c>
      <c r="G52">
        <v>0.21105395066613902</v>
      </c>
      <c r="H52">
        <v>0.21086749285033365</v>
      </c>
      <c r="I52">
        <v>0.21478770131771596</v>
      </c>
    </row>
    <row r="53" spans="1:9">
      <c r="A53">
        <v>0.17896814951302975</v>
      </c>
      <c r="B53">
        <v>0.18229109020475925</v>
      </c>
      <c r="C53">
        <v>0.18199142448785133</v>
      </c>
      <c r="D53">
        <v>0.17888675623800385</v>
      </c>
      <c r="E53">
        <v>0.17446528463310298</v>
      </c>
      <c r="F53">
        <v>0.17018167456556083</v>
      </c>
      <c r="G53">
        <v>0.16646880358791716</v>
      </c>
      <c r="H53">
        <v>0.16644423260247854</v>
      </c>
      <c r="I53">
        <v>0.17013177159590043</v>
      </c>
    </row>
    <row r="54" spans="1:9">
      <c r="A54">
        <v>0.14474861805738351</v>
      </c>
      <c r="B54">
        <v>0.14759269507470946</v>
      </c>
      <c r="C54">
        <v>0.14792758456407812</v>
      </c>
      <c r="D54">
        <v>0.14561740243122201</v>
      </c>
      <c r="E54">
        <v>0.14116485686080946</v>
      </c>
      <c r="F54">
        <v>0.13789494470774091</v>
      </c>
      <c r="G54">
        <v>0.1352064371454953</v>
      </c>
      <c r="H54">
        <v>0.13555767397521448</v>
      </c>
      <c r="I54">
        <v>0.13894582723279647</v>
      </c>
    </row>
    <row r="55" spans="1:9">
      <c r="A55">
        <v>0.11568833903658855</v>
      </c>
      <c r="B55">
        <v>0.11759822910902049</v>
      </c>
      <c r="C55">
        <v>0.11831030649515641</v>
      </c>
      <c r="D55">
        <v>0.1162507997440819</v>
      </c>
      <c r="E55">
        <v>0.11326094109904573</v>
      </c>
      <c r="F55">
        <v>0.11080173775671406</v>
      </c>
      <c r="G55">
        <v>0.10899617464714417</v>
      </c>
      <c r="H55">
        <v>0.10953288846520495</v>
      </c>
      <c r="I55">
        <v>0.11266471449487554</v>
      </c>
    </row>
    <row r="56" spans="1:9">
      <c r="A56">
        <v>9.2155830481705711E-2</v>
      </c>
      <c r="B56">
        <v>9.4023242944106258E-2</v>
      </c>
      <c r="C56">
        <v>9.4314753057011272E-2</v>
      </c>
      <c r="D56">
        <v>9.3410108765195135E-2</v>
      </c>
      <c r="E56">
        <v>9.0983876275090497E-2</v>
      </c>
      <c r="F56">
        <v>8.9593206951026849E-2</v>
      </c>
      <c r="G56">
        <v>8.8246933122279381E-2</v>
      </c>
      <c r="H56">
        <v>8.8970448045757863E-2</v>
      </c>
      <c r="I56">
        <v>9.1654465592972176E-2</v>
      </c>
    </row>
    <row r="57" spans="1:9">
      <c r="A57">
        <v>7.4230060542247955E-2</v>
      </c>
      <c r="B57">
        <v>7.5871610403984505E-2</v>
      </c>
      <c r="C57">
        <v>7.6274416388756552E-2</v>
      </c>
      <c r="D57">
        <v>7.5943698016634684E-2</v>
      </c>
      <c r="E57">
        <v>7.3938795656465939E-2</v>
      </c>
      <c r="F57">
        <v>7.308451816745655E-2</v>
      </c>
      <c r="G57">
        <v>7.2154069383986288E-2</v>
      </c>
      <c r="H57">
        <v>7.2716873212583411E-2</v>
      </c>
      <c r="I57">
        <v>7.503660322108345E-2</v>
      </c>
    </row>
    <row r="58" spans="1:9">
      <c r="A58">
        <v>6.085812055804158E-2</v>
      </c>
      <c r="B58">
        <v>6.2479247371333702E-2</v>
      </c>
      <c r="C58">
        <v>6.249007463871685E-2</v>
      </c>
      <c r="D58">
        <v>6.2815099168266164E-2</v>
      </c>
      <c r="E58">
        <v>6.1500493583415597E-2</v>
      </c>
      <c r="F58">
        <v>6.088072669826225E-2</v>
      </c>
      <c r="G58">
        <v>6.0018467220683283E-2</v>
      </c>
      <c r="H58">
        <v>6.0428979980934223E-2</v>
      </c>
      <c r="I58">
        <v>6.2415812591508052E-2</v>
      </c>
    </row>
    <row r="59" spans="1:9">
      <c r="A59">
        <v>5.0776520136878119E-2</v>
      </c>
      <c r="B59">
        <v>5.1543995572772547E-2</v>
      </c>
      <c r="C59">
        <v>5.2358265840876606E-2</v>
      </c>
      <c r="D59">
        <v>5.2290467050543826E-2</v>
      </c>
      <c r="E59">
        <v>5.0839091806515295E-2</v>
      </c>
      <c r="F59">
        <v>5.0355450236966824E-2</v>
      </c>
      <c r="G59">
        <v>4.9729587125709004E-2</v>
      </c>
      <c r="H59">
        <v>5.0142993326978073E-2</v>
      </c>
      <c r="I59">
        <v>5.150073206442167E-2</v>
      </c>
    </row>
    <row r="60" spans="1:9">
      <c r="A60">
        <v>4.1168728612792839E-2</v>
      </c>
      <c r="B60">
        <v>4.2125069175428888E-2</v>
      </c>
      <c r="C60">
        <v>4.2051770684452913E-2</v>
      </c>
      <c r="D60">
        <v>4.2040946896992969E-2</v>
      </c>
      <c r="E60">
        <v>4.10003290556104E-2</v>
      </c>
      <c r="F60">
        <v>4.0738546603475513E-2</v>
      </c>
      <c r="G60">
        <v>4.0166204986149583E-2</v>
      </c>
      <c r="H60">
        <v>4.037178265014299E-2</v>
      </c>
      <c r="I60">
        <v>4.1434846266471446E-2</v>
      </c>
    </row>
    <row r="61" spans="1:9">
      <c r="A61">
        <v>3.348249539352461E-2</v>
      </c>
      <c r="B61">
        <v>3.4897620365246261E-2</v>
      </c>
      <c r="C61">
        <v>3.40161981896141E-2</v>
      </c>
      <c r="D61">
        <v>3.5118362124120284E-2</v>
      </c>
      <c r="E61">
        <v>3.3892727871010199E-2</v>
      </c>
      <c r="F61">
        <v>3.3313586097946282E-2</v>
      </c>
      <c r="G61">
        <v>3.2858461944334519E-2</v>
      </c>
      <c r="H61">
        <v>3.2888465204957099E-2</v>
      </c>
      <c r="I61">
        <v>3.3872620790629575E-2</v>
      </c>
    </row>
    <row r="62" spans="1:9">
      <c r="A62">
        <v>2.7401947881021321E-2</v>
      </c>
      <c r="B62">
        <v>2.8605423353624794E-2</v>
      </c>
      <c r="C62">
        <v>2.8156264888041922E-2</v>
      </c>
      <c r="D62">
        <v>2.8720409468969931E-2</v>
      </c>
      <c r="E62">
        <v>2.7495886804870018E-2</v>
      </c>
      <c r="F62">
        <v>2.7132701421800947E-2</v>
      </c>
      <c r="G62">
        <v>2.688299696609946E-2</v>
      </c>
      <c r="H62">
        <v>2.6873212583412773E-2</v>
      </c>
      <c r="I62">
        <v>2.7723279648609076E-2</v>
      </c>
    </row>
    <row r="63" spans="1:9">
      <c r="A63">
        <v>2.1939984206370097E-2</v>
      </c>
      <c r="B63">
        <v>2.3065855008301051E-2</v>
      </c>
      <c r="C63">
        <v>2.2677465459742731E-2</v>
      </c>
      <c r="D63">
        <v>2.3435700575815743E-2</v>
      </c>
      <c r="E63">
        <v>2.2237578150707468E-2</v>
      </c>
      <c r="F63">
        <v>2.1860189573459716E-2</v>
      </c>
      <c r="G63">
        <v>2.1764938662445589E-2</v>
      </c>
      <c r="H63">
        <v>2.1811248808388941E-2</v>
      </c>
      <c r="I63">
        <v>2.2503660322108345E-2</v>
      </c>
    </row>
    <row r="64" spans="1:9">
      <c r="A64">
        <v>1.7359831534614373E-2</v>
      </c>
      <c r="B64">
        <v>1.8826784726065301E-2</v>
      </c>
      <c r="C64">
        <v>1.7468635858345242E-2</v>
      </c>
      <c r="D64">
        <v>1.891234804862444E-2</v>
      </c>
      <c r="E64">
        <v>1.7706482395524841E-2</v>
      </c>
      <c r="F64">
        <v>1.7434834123222748E-2</v>
      </c>
      <c r="G64">
        <v>1.7411950929956468E-2</v>
      </c>
      <c r="H64">
        <v>1.7540514775977119E-2</v>
      </c>
      <c r="I64">
        <v>1.8221083455344071E-2</v>
      </c>
    </row>
    <row r="65" spans="1:9">
      <c r="A65">
        <v>1.3556198999736773E-2</v>
      </c>
      <c r="B65">
        <v>1.5545102379634752E-2</v>
      </c>
      <c r="C65">
        <v>1.3854216293473083E-2</v>
      </c>
      <c r="D65">
        <v>1.4644913627639157E-2</v>
      </c>
      <c r="E65">
        <v>1.4169134583744653E-2</v>
      </c>
      <c r="F65">
        <v>1.3714454976303317E-2</v>
      </c>
      <c r="G65">
        <v>1.3771270280965572E-2</v>
      </c>
      <c r="H65">
        <v>1.3813155386081983E-2</v>
      </c>
      <c r="I65">
        <v>1.4480234260614934E-2</v>
      </c>
    </row>
    <row r="66" spans="1:9">
      <c r="A66">
        <v>1.0460647538826006E-2</v>
      </c>
      <c r="B66">
        <v>1.1654676258992804E-2</v>
      </c>
      <c r="C66">
        <v>1.0431951723042718E-2</v>
      </c>
      <c r="D66">
        <v>1.1087651951375562E-2</v>
      </c>
      <c r="E66">
        <v>1.0881869035867062E-2</v>
      </c>
      <c r="F66">
        <v>1.0558846761453395E-2</v>
      </c>
      <c r="G66">
        <v>1.0929956470122675E-2</v>
      </c>
      <c r="H66">
        <v>1.0857959961868446E-2</v>
      </c>
      <c r="I66">
        <v>1.1383601756954612E-2</v>
      </c>
    </row>
    <row r="67" spans="1:9">
      <c r="A67">
        <v>8.3969465648854949E-3</v>
      </c>
      <c r="B67">
        <v>9.1477587161040395E-3</v>
      </c>
      <c r="C67">
        <v>8.0752739399714141E-3</v>
      </c>
      <c r="D67">
        <v>9.3474088291746645E-3</v>
      </c>
      <c r="E67">
        <v>8.9996709443896008E-3</v>
      </c>
      <c r="F67">
        <v>8.6157187993680887E-3</v>
      </c>
      <c r="G67">
        <v>8.9302202875610071E-3</v>
      </c>
      <c r="H67">
        <v>8.8665395614871308E-3</v>
      </c>
      <c r="I67">
        <v>9.2898975109809677E-3</v>
      </c>
    </row>
    <row r="68" spans="1:9">
      <c r="A68">
        <v>6.7333508818110017E-3</v>
      </c>
      <c r="B68">
        <v>7.753182069728832E-3</v>
      </c>
      <c r="C68">
        <v>6.8048276957281238E-3</v>
      </c>
      <c r="D68">
        <v>7.2552783109404986E-3</v>
      </c>
      <c r="E68">
        <v>7.3774267851266853E-3</v>
      </c>
      <c r="F68">
        <v>6.8503159557661928E-3</v>
      </c>
      <c r="G68">
        <v>7.2589368157235197E-3</v>
      </c>
      <c r="H68">
        <v>7.2383222116301233E-3</v>
      </c>
      <c r="I68">
        <v>7.5475841874084919E-3</v>
      </c>
    </row>
    <row r="69" spans="1:9">
      <c r="A69">
        <v>5.3777309818373257E-3</v>
      </c>
      <c r="B69">
        <v>6.3586054233536254E-3</v>
      </c>
      <c r="C69">
        <v>5.3247578211846908E-3</v>
      </c>
      <c r="D69">
        <v>5.6922584772872683E-3</v>
      </c>
      <c r="E69">
        <v>5.8604804211911813E-3</v>
      </c>
      <c r="F69">
        <v>5.3811216429699845E-3</v>
      </c>
      <c r="G69">
        <v>5.7644110275689225E-3</v>
      </c>
      <c r="H69">
        <v>5.7378455672068632E-3</v>
      </c>
      <c r="I69">
        <v>6.0051244509516837E-3</v>
      </c>
    </row>
    <row r="70" spans="1:9">
      <c r="A70">
        <v>4.2116346406949196E-3</v>
      </c>
      <c r="B70">
        <v>5.2728278915329272E-3</v>
      </c>
      <c r="C70">
        <v>4.1527711608702559E-3</v>
      </c>
      <c r="D70">
        <v>4.8937939859245048E-3</v>
      </c>
      <c r="E70">
        <v>4.6561368871339253E-3</v>
      </c>
      <c r="F70">
        <v>4.1488941548183259E-3</v>
      </c>
      <c r="G70">
        <v>4.5139163698720485E-3</v>
      </c>
      <c r="H70">
        <v>4.493803622497617E-3</v>
      </c>
      <c r="I70">
        <v>4.7064421669106883E-3</v>
      </c>
    </row>
    <row r="71" spans="1:9">
      <c r="A71">
        <v>3.2640168465385626E-3</v>
      </c>
      <c r="B71">
        <v>4.2606530160486994E-3</v>
      </c>
      <c r="C71">
        <v>3.9129744322693345E-3</v>
      </c>
      <c r="D71">
        <v>3.7338451695457455E-3</v>
      </c>
      <c r="E71">
        <v>3.4945705824284299E-3</v>
      </c>
      <c r="F71">
        <v>2.9541864139020534E-3</v>
      </c>
      <c r="G71">
        <v>3.5008574066745812E-3</v>
      </c>
      <c r="H71">
        <v>3.529075309818875E-3</v>
      </c>
      <c r="I71">
        <v>3.6632503660322109E-3</v>
      </c>
    </row>
    <row r="72" spans="1:9">
      <c r="A72">
        <v>2.6954461700447485E-3</v>
      </c>
      <c r="B72">
        <v>3.4100719424460433E-3</v>
      </c>
      <c r="C72">
        <v>2.9506114022550419E-3</v>
      </c>
      <c r="D72">
        <v>2.7229686500319901E-3</v>
      </c>
      <c r="E72">
        <v>2.8068443566962812E-3</v>
      </c>
      <c r="F72">
        <v>2.1484992101105846E-3</v>
      </c>
      <c r="G72">
        <v>2.6751088246933122E-3</v>
      </c>
      <c r="H72">
        <v>2.5757864632983793E-3</v>
      </c>
      <c r="I72">
        <v>2.7554904831625184E-3</v>
      </c>
    </row>
    <row r="73" spans="1:9">
      <c r="A73">
        <v>2.084495919978942E-3</v>
      </c>
      <c r="B73">
        <v>2.5677919203099058E-3</v>
      </c>
      <c r="C73">
        <v>2.1248213434969031E-3</v>
      </c>
      <c r="D73">
        <v>1.6762635956493921E-3</v>
      </c>
      <c r="E73">
        <v>2.0898321816386969E-3</v>
      </c>
      <c r="F73">
        <v>1.5556872037914692E-3</v>
      </c>
      <c r="G73">
        <v>1.8876137712702809E-3</v>
      </c>
      <c r="H73">
        <v>1.8427073403241181E-3</v>
      </c>
      <c r="I73">
        <v>2.1669106881405564E-3</v>
      </c>
    </row>
    <row r="74" spans="1:9">
      <c r="A74">
        <v>1.529613056067386E-3</v>
      </c>
      <c r="B74">
        <v>2.0149418926397344E-3</v>
      </c>
      <c r="C74">
        <v>1.8326187073209464E-3</v>
      </c>
      <c r="D74">
        <v>1.1676263595649392E-3</v>
      </c>
      <c r="E74">
        <v>1.4866732477788747E-3</v>
      </c>
      <c r="F74">
        <v>8.7480252764612952E-4</v>
      </c>
      <c r="G74">
        <v>1.2519456536077033E-3</v>
      </c>
      <c r="H74">
        <v>1.2564346997140134E-3</v>
      </c>
      <c r="I74">
        <v>1.5490483162518302E-3</v>
      </c>
    </row>
    <row r="75" spans="1:9">
      <c r="A75">
        <v>9.799947354566991E-4</v>
      </c>
      <c r="B75">
        <v>1.6065301604869951E-3</v>
      </c>
      <c r="C75">
        <v>1.2097824360806733E-3</v>
      </c>
      <c r="D75">
        <v>7.7479206653870765E-4</v>
      </c>
      <c r="E75">
        <v>8.2230997038499503E-4</v>
      </c>
      <c r="F75">
        <v>4.4924960505529225E-4</v>
      </c>
      <c r="G75">
        <v>8.2165941168711254E-4</v>
      </c>
      <c r="H75">
        <v>8.3374642516682558E-4</v>
      </c>
      <c r="I75">
        <v>1.0175695461200585E-3</v>
      </c>
    </row>
    <row r="76" spans="1:9">
      <c r="A76">
        <v>7.0676493814161617E-4</v>
      </c>
      <c r="B76">
        <v>9.7786386275594919E-4</v>
      </c>
      <c r="C76">
        <v>9.9269493409560091E-4</v>
      </c>
      <c r="D76">
        <v>4.5175943698016634E-4</v>
      </c>
      <c r="E76">
        <v>3.642645607107601E-4</v>
      </c>
      <c r="F76">
        <v>2.0734597156398102E-4</v>
      </c>
      <c r="G76">
        <v>5.5559952512861089E-4</v>
      </c>
      <c r="H76">
        <v>4.5433746425166827E-4</v>
      </c>
      <c r="I76">
        <v>6.4729136163982424E-4</v>
      </c>
    </row>
    <row r="77" spans="1:9">
      <c r="A77">
        <v>1.2013687812582258E-4</v>
      </c>
      <c r="B77">
        <v>6.7404537908135036E-4</v>
      </c>
      <c r="C77">
        <v>8.7644910274734E-4</v>
      </c>
      <c r="D77">
        <v>6.8650031989763284E-5</v>
      </c>
      <c r="E77">
        <v>1.5514972030273116E-4</v>
      </c>
      <c r="F77">
        <v>1.1798973143759875E-4</v>
      </c>
      <c r="G77">
        <v>1.4549531724046959E-4</v>
      </c>
      <c r="H77">
        <v>2.0638703527168731E-4</v>
      </c>
      <c r="I77">
        <v>4.2584187408491945E-4</v>
      </c>
    </row>
    <row r="78" spans="1:9">
      <c r="A78">
        <v>2.0768623321926821E-5</v>
      </c>
      <c r="B78">
        <v>2.5401217487548423E-4</v>
      </c>
      <c r="C78">
        <v>6.714308400825789E-4</v>
      </c>
      <c r="D78">
        <v>1.0684580934101088E-24</v>
      </c>
      <c r="E78">
        <v>8.5916419874958853E-6</v>
      </c>
      <c r="F78">
        <v>6.1848341232227483E-6</v>
      </c>
      <c r="G78">
        <v>4.0179395858066219E-6</v>
      </c>
      <c r="H78">
        <v>4.1639656816015251E-5</v>
      </c>
      <c r="I78">
        <v>6.7532942898975115E-5</v>
      </c>
    </row>
    <row r="79" spans="1:9">
      <c r="A79">
        <v>2.5548828639115553E-4</v>
      </c>
      <c r="B79">
        <v>1.0011068068622027E-4</v>
      </c>
      <c r="C79">
        <v>6.3363506431634111E-4</v>
      </c>
      <c r="D79">
        <v>1.0626999360204734E-24</v>
      </c>
      <c r="E79">
        <v>6.3211582757486011E-25</v>
      </c>
      <c r="F79">
        <v>3.7934439178515007E-25</v>
      </c>
      <c r="G79">
        <v>2.5339664951853314E-25</v>
      </c>
      <c r="H79">
        <v>1.8312678741658722E-25</v>
      </c>
      <c r="I79">
        <v>1.4062957540263542E-25</v>
      </c>
    </row>
    <row r="80" spans="1:9">
      <c r="A80">
        <v>1.6114767043958936E-4</v>
      </c>
      <c r="B80">
        <v>1.0575539568345324E-24</v>
      </c>
      <c r="C80">
        <v>1.4094013022074002E-4</v>
      </c>
      <c r="D80">
        <v>1.0595009596928983E-24</v>
      </c>
      <c r="E80">
        <v>6.3014149391247113E-25</v>
      </c>
      <c r="F80">
        <v>3.7815955766192731E-25</v>
      </c>
      <c r="G80">
        <v>2.5260519720353513E-25</v>
      </c>
      <c r="H80">
        <v>1.8255481410867491E-25</v>
      </c>
      <c r="I80">
        <v>1.4019033674963396E-25</v>
      </c>
    </row>
    <row r="81" spans="1:9">
      <c r="A81">
        <v>1.0652803369307712E-24</v>
      </c>
      <c r="B81">
        <v>1.0531267293857222E-24</v>
      </c>
      <c r="C81">
        <v>5.9742734635540732E-5</v>
      </c>
      <c r="D81">
        <v>1.054382597568778E-24</v>
      </c>
      <c r="E81">
        <v>6.2750904902928589E-25</v>
      </c>
      <c r="F81">
        <v>3.7657977883096365E-25</v>
      </c>
      <c r="G81">
        <v>2.5154992745020445E-25</v>
      </c>
      <c r="H81">
        <v>1.8179218303145852E-25</v>
      </c>
      <c r="I81">
        <v>1.3960468521229868E-25</v>
      </c>
    </row>
    <row r="82" spans="1:9">
      <c r="A82">
        <v>1.0605422479599894E-24</v>
      </c>
      <c r="B82">
        <v>1.0481460985058107E-24</v>
      </c>
      <c r="C82">
        <v>4.0082579005875811E-5</v>
      </c>
      <c r="D82">
        <v>1.0499040307101728E-24</v>
      </c>
      <c r="E82">
        <v>6.2454754853570256E-25</v>
      </c>
      <c r="F82">
        <v>3.7480252764612955E-25</v>
      </c>
      <c r="G82">
        <v>2.5036274897770742E-25</v>
      </c>
      <c r="H82">
        <v>1.809342230695901E-25</v>
      </c>
      <c r="I82">
        <v>1.389458272327965E-25</v>
      </c>
    </row>
    <row r="83" spans="1:9">
      <c r="A83">
        <v>1.0573835219794681E-24</v>
      </c>
      <c r="B83">
        <v>1.044825677919203E-24</v>
      </c>
      <c r="C83">
        <v>1.0411306971573764E-24</v>
      </c>
      <c r="D83">
        <v>1.0467050543825976E-24</v>
      </c>
      <c r="E83">
        <v>6.2257321487331358E-25</v>
      </c>
      <c r="F83">
        <v>3.7361769352290683E-25</v>
      </c>
      <c r="G83">
        <v>2.4957129666270941E-25</v>
      </c>
      <c r="H83">
        <v>1.8036224976167779E-25</v>
      </c>
      <c r="I83">
        <v>1.3850658857979504E-25</v>
      </c>
    </row>
    <row r="84" spans="1:9">
      <c r="A84">
        <v>1.0521189786785996E-24</v>
      </c>
      <c r="B84">
        <v>1.0398450470392916E-24</v>
      </c>
      <c r="C84">
        <v>1.0360489121804032E-24</v>
      </c>
      <c r="D84">
        <v>1.0415866922584774E-24</v>
      </c>
      <c r="E84">
        <v>6.1961171437973016E-25</v>
      </c>
      <c r="F84">
        <v>3.7184044233807268E-25</v>
      </c>
      <c r="G84">
        <v>2.4838411819021238E-25</v>
      </c>
      <c r="H84">
        <v>1.7950428979980935E-25</v>
      </c>
      <c r="I84">
        <v>1.3784773060029284E-25</v>
      </c>
    </row>
    <row r="85" spans="1:9">
      <c r="A85">
        <v>1.0489602526980785E-24</v>
      </c>
      <c r="B85">
        <v>1.0370780298837852E-24</v>
      </c>
      <c r="C85">
        <v>1.0330316023503254E-24</v>
      </c>
      <c r="D85">
        <v>1.0383877159309021E-24</v>
      </c>
      <c r="E85">
        <v>6.1796643632773927E-25</v>
      </c>
      <c r="F85">
        <v>3.7085308056872036E-25</v>
      </c>
      <c r="G85">
        <v>2.4772457459438064E-25</v>
      </c>
      <c r="H85">
        <v>1.7902764537654907E-25</v>
      </c>
      <c r="I85">
        <v>1.3748169838945826E-25</v>
      </c>
    </row>
    <row r="86" spans="1:9">
      <c r="A86">
        <v>1.0405369834166885E-24</v>
      </c>
      <c r="B86">
        <v>1.0287769784172662E-24</v>
      </c>
      <c r="C86">
        <v>1.0246148959822136E-24</v>
      </c>
      <c r="D86">
        <v>1.0300703774792067E-24</v>
      </c>
      <c r="E86">
        <v>6.1303060217176706E-25</v>
      </c>
      <c r="F86">
        <v>3.6789099526066349E-25</v>
      </c>
      <c r="G86">
        <v>2.4574594380688564E-25</v>
      </c>
      <c r="H86">
        <v>1.7759771210676836E-25</v>
      </c>
      <c r="I86">
        <v>1.3638360175695462E-25</v>
      </c>
    </row>
    <row r="87" spans="1:9">
      <c r="A87">
        <v>1.0394840747565147E-24</v>
      </c>
      <c r="B87">
        <v>1.0276701715550636E-24</v>
      </c>
      <c r="C87">
        <v>1.0236620612990312E-24</v>
      </c>
      <c r="D87">
        <v>1.0294305822136917E-24</v>
      </c>
      <c r="E87">
        <v>6.123724909509707E-25</v>
      </c>
      <c r="F87">
        <v>3.674960505529226E-25</v>
      </c>
      <c r="G87">
        <v>2.4548212636855297E-25</v>
      </c>
      <c r="H87">
        <v>1.7740705433746424E-25</v>
      </c>
      <c r="I87">
        <v>1.3623718887262079E-25</v>
      </c>
    </row>
    <row r="88" spans="1:9">
      <c r="A88">
        <v>1.0413266649118189E-24</v>
      </c>
      <c r="B88">
        <v>1.0293303818483675E-24</v>
      </c>
      <c r="C88">
        <v>1.0254089248848658E-24</v>
      </c>
      <c r="D88">
        <v>1.0307101727447217E-24</v>
      </c>
      <c r="E88">
        <v>6.1335965778216514E-25</v>
      </c>
      <c r="F88">
        <v>3.6808846761453394E-25</v>
      </c>
      <c r="G88">
        <v>2.4587785252605195E-25</v>
      </c>
      <c r="H88">
        <v>1.7769304099142038E-25</v>
      </c>
      <c r="I88">
        <v>1.3645680819912152E-25</v>
      </c>
    </row>
    <row r="89" spans="1:9">
      <c r="A89">
        <v>1.0434324822321661E-24</v>
      </c>
      <c r="B89">
        <v>1.0315439955727726E-24</v>
      </c>
      <c r="C89">
        <v>1.0274734000317612E-24</v>
      </c>
      <c r="D89">
        <v>1.0332693538067818E-24</v>
      </c>
      <c r="E89">
        <v>6.1467588022375777E-25</v>
      </c>
      <c r="F89">
        <v>3.6887835703001577E-25</v>
      </c>
      <c r="G89">
        <v>2.4640548740271729E-25</v>
      </c>
      <c r="H89">
        <v>1.7807435653002859E-25</v>
      </c>
      <c r="I89">
        <v>1.3674963396778915E-25</v>
      </c>
    </row>
    <row r="90" spans="1:9">
      <c r="A90">
        <v>1.0460647538826005E-24</v>
      </c>
      <c r="B90">
        <v>1.0337576092971777E-24</v>
      </c>
      <c r="C90">
        <v>1.0300142925202476E-24</v>
      </c>
      <c r="D90">
        <v>1.0358285348688419E-24</v>
      </c>
      <c r="E90">
        <v>6.1599210266535039E-25</v>
      </c>
      <c r="F90">
        <v>3.696682464454976E-25</v>
      </c>
      <c r="G90">
        <v>2.4693312227938263E-25</v>
      </c>
      <c r="H90">
        <v>1.7845567206863678E-25</v>
      </c>
      <c r="I90">
        <v>1.370424597364568E-25</v>
      </c>
    </row>
    <row r="91" spans="1:9">
      <c r="A91">
        <v>1.0508028428533823E-24</v>
      </c>
      <c r="B91">
        <v>1.0387382401770891E-24</v>
      </c>
      <c r="C91">
        <v>1.0346196601556296E-24</v>
      </c>
      <c r="D91">
        <v>1.0403071017274472E-24</v>
      </c>
      <c r="E91">
        <v>6.1895360315893381E-25</v>
      </c>
      <c r="F91">
        <v>3.7144549763033174E-25</v>
      </c>
      <c r="G91">
        <v>2.4812030075187971E-25</v>
      </c>
      <c r="H91">
        <v>1.7931363203050525E-25</v>
      </c>
      <c r="I91">
        <v>1.3770131771595901E-25</v>
      </c>
    </row>
    <row r="92" spans="1:9">
      <c r="A92">
        <v>1.0552777046591208E-24</v>
      </c>
      <c r="B92">
        <v>1.0431654676258993E-24</v>
      </c>
      <c r="C92">
        <v>1.039066222010481E-24</v>
      </c>
      <c r="D92">
        <v>1.0447856685860525E-24</v>
      </c>
      <c r="E92">
        <v>6.2158604804211905E-25</v>
      </c>
      <c r="F92">
        <v>3.730252764612954E-25</v>
      </c>
      <c r="G92">
        <v>2.4917557050521038E-25</v>
      </c>
      <c r="H92">
        <v>1.8007626310772163E-25</v>
      </c>
      <c r="I92">
        <v>1.3828696925329429E-25</v>
      </c>
    </row>
    <row r="93" spans="1:9">
      <c r="A93">
        <v>1.0621216109502501E-24</v>
      </c>
      <c r="B93">
        <v>1.0498063087991145E-24</v>
      </c>
      <c r="C93">
        <v>1.0458948705732888E-24</v>
      </c>
      <c r="D93">
        <v>1.0511836212412027E-24</v>
      </c>
      <c r="E93">
        <v>6.2553471536689691E-25</v>
      </c>
      <c r="F93">
        <v>3.7539494470774089E-25</v>
      </c>
      <c r="G93">
        <v>2.507584751352064E-25</v>
      </c>
      <c r="H93">
        <v>1.8122020972354623E-25</v>
      </c>
      <c r="I93">
        <v>1.391654465592972E-25</v>
      </c>
    </row>
    <row r="94" spans="1:9">
      <c r="A94">
        <v>1.0694919715714662E-24</v>
      </c>
      <c r="B94">
        <v>1.0570005534034312E-24</v>
      </c>
      <c r="C94">
        <v>1.0530411306971573E-24</v>
      </c>
      <c r="D94">
        <v>1.0588611644273833E-24</v>
      </c>
      <c r="E94">
        <v>6.2981243830207304E-25</v>
      </c>
      <c r="F94">
        <v>3.7796208530805691E-25</v>
      </c>
      <c r="G94">
        <v>2.5247328848436882E-25</v>
      </c>
      <c r="H94">
        <v>1.8245948522402289E-25</v>
      </c>
      <c r="I94">
        <v>1.4011713030746706E-25</v>
      </c>
    </row>
    <row r="95" spans="1:9">
      <c r="A95">
        <v>1.0755461963674649E-24</v>
      </c>
      <c r="B95">
        <v>1.0630879911455451E-24</v>
      </c>
      <c r="C95">
        <v>1.0590757503573131E-24</v>
      </c>
      <c r="D95">
        <v>1.0646193218170186E-24</v>
      </c>
      <c r="E95">
        <v>6.3343205001645273E-25</v>
      </c>
      <c r="F95">
        <v>3.801342812006319E-25</v>
      </c>
      <c r="G95">
        <v>2.5392428439519847E-25</v>
      </c>
      <c r="H95">
        <v>1.8350810295519541E-25</v>
      </c>
      <c r="I95">
        <v>1.4092240117130307E-25</v>
      </c>
    </row>
    <row r="96" spans="1:9">
      <c r="A96">
        <v>1.0823901026585944E-24</v>
      </c>
      <c r="B96">
        <v>1.0697288323187605E-24</v>
      </c>
      <c r="C96">
        <v>1.0659043989201207E-24</v>
      </c>
      <c r="D96">
        <v>1.071657069737684E-24</v>
      </c>
      <c r="E96">
        <v>6.3738071734123059E-25</v>
      </c>
      <c r="F96">
        <v>3.8250394944707739E-25</v>
      </c>
      <c r="G96">
        <v>2.5550718902519454E-25</v>
      </c>
      <c r="H96">
        <v>1.8465204957102001E-25</v>
      </c>
      <c r="I96">
        <v>1.4180087847730598E-25</v>
      </c>
    </row>
    <row r="97" spans="1:9">
      <c r="A97">
        <v>1.0913398262700711E-24</v>
      </c>
      <c r="B97">
        <v>1.0785832872163808E-24</v>
      </c>
      <c r="C97">
        <v>1.0746387168492932E-24</v>
      </c>
      <c r="D97">
        <v>1.0806142034548945E-24</v>
      </c>
      <c r="E97">
        <v>6.4264560710760117E-25</v>
      </c>
      <c r="F97">
        <v>3.8566350710900475E-25</v>
      </c>
      <c r="G97">
        <v>2.5761772853185598E-25</v>
      </c>
      <c r="H97">
        <v>1.8617731172545282E-25</v>
      </c>
      <c r="I97">
        <v>1.4297218155197659E-25</v>
      </c>
    </row>
    <row r="98" spans="1:9">
      <c r="A98">
        <v>1.1002895498815478E-24</v>
      </c>
      <c r="B98">
        <v>1.0874377421140011E-24</v>
      </c>
      <c r="C98">
        <v>1.0835318405589963E-24</v>
      </c>
      <c r="D98">
        <v>1.0895713371721051E-24</v>
      </c>
      <c r="E98">
        <v>6.4791049687397174E-25</v>
      </c>
      <c r="F98">
        <v>3.8882306477093211E-25</v>
      </c>
      <c r="G98">
        <v>2.5972826803851733E-25</v>
      </c>
      <c r="H98">
        <v>1.8770257387988562E-25</v>
      </c>
      <c r="I98">
        <v>1.4414348462664715E-25</v>
      </c>
    </row>
    <row r="99" spans="1:9">
      <c r="A99">
        <v>1.1123979994735455E-24</v>
      </c>
      <c r="B99">
        <v>1.0996126175982291E-24</v>
      </c>
      <c r="C99">
        <v>1.0952834683182467E-24</v>
      </c>
      <c r="D99">
        <v>1.1010876519513757E-24</v>
      </c>
      <c r="E99">
        <v>6.5514972030273111E-25</v>
      </c>
      <c r="F99">
        <v>3.9316745655608214E-25</v>
      </c>
      <c r="G99">
        <v>2.6263025986017674E-25</v>
      </c>
      <c r="H99">
        <v>1.8979980934223069E-25</v>
      </c>
      <c r="I99">
        <v>1.4575402635431919E-25</v>
      </c>
    </row>
    <row r="100" spans="1:9">
      <c r="A100">
        <v>1.126085812055804E-24</v>
      </c>
      <c r="B100">
        <v>1.1128942999446597E-24</v>
      </c>
      <c r="C100">
        <v>1.1087819596633318E-24</v>
      </c>
      <c r="D100">
        <v>1.1145233525271912E-24</v>
      </c>
      <c r="E100">
        <v>6.6304705495228693E-25</v>
      </c>
      <c r="F100">
        <v>3.9790679304897315E-25</v>
      </c>
      <c r="G100">
        <v>2.6579606912016882E-25</v>
      </c>
      <c r="H100">
        <v>1.9208770257387987E-25</v>
      </c>
      <c r="I100">
        <v>1.4751098096632504E-25</v>
      </c>
    </row>
    <row r="101" spans="1:9">
      <c r="A101">
        <v>1.1426691234535404E-24</v>
      </c>
      <c r="B101">
        <v>1.1294964028776977E-24</v>
      </c>
      <c r="C101">
        <v>1.1252977608384946E-24</v>
      </c>
      <c r="D101">
        <v>1.1311580294305823E-24</v>
      </c>
      <c r="E101">
        <v>6.7291872326423163E-25</v>
      </c>
      <c r="F101">
        <v>4.0383096366508684E-25</v>
      </c>
      <c r="G101">
        <v>2.6975333069515894E-25</v>
      </c>
      <c r="H101">
        <v>1.9494756911344136E-25</v>
      </c>
      <c r="I101">
        <v>1.4970717423133236E-25</v>
      </c>
    </row>
    <row r="102" spans="1:9">
      <c r="A102">
        <v>1.1616214793366674E-24</v>
      </c>
      <c r="B102">
        <v>1.1483121195351411E-24</v>
      </c>
      <c r="C102">
        <v>1.1438780371605525E-24</v>
      </c>
      <c r="D102">
        <v>1.1503518873960334E-24</v>
      </c>
      <c r="E102">
        <v>6.8410661401776905E-25</v>
      </c>
      <c r="F102">
        <v>4.105450236966825E-25</v>
      </c>
      <c r="G102">
        <v>2.7423822714681441E-25</v>
      </c>
      <c r="H102">
        <v>1.9818875119161106E-25</v>
      </c>
      <c r="I102">
        <v>1.5219619326500733E-25</v>
      </c>
    </row>
    <row r="103" spans="1:9">
      <c r="A103">
        <v>1.1821531982100551E-24</v>
      </c>
      <c r="B103">
        <v>1.1682346430547869E-24</v>
      </c>
      <c r="C103">
        <v>1.1640463712879148E-24</v>
      </c>
      <c r="D103">
        <v>1.1701855406269995E-24</v>
      </c>
      <c r="E103">
        <v>6.9628167160250073E-25</v>
      </c>
      <c r="F103">
        <v>4.1785150078988935E-25</v>
      </c>
      <c r="G103">
        <v>2.7911884975596886E-25</v>
      </c>
      <c r="H103">
        <v>2.0171591992373687E-25</v>
      </c>
      <c r="I103">
        <v>1.5490483162518301E-25</v>
      </c>
    </row>
    <row r="104" spans="1:9">
      <c r="A104">
        <v>1.2050539615688338E-24</v>
      </c>
      <c r="B104">
        <v>1.190924183729939E-24</v>
      </c>
      <c r="C104">
        <v>1.1865967921232331E-24</v>
      </c>
      <c r="D104">
        <v>1.1932181701855406E-24</v>
      </c>
      <c r="E104">
        <v>7.0977295162882521E-25</v>
      </c>
      <c r="F104">
        <v>4.2594786729857822E-25</v>
      </c>
      <c r="G104">
        <v>2.8452710724178865E-25</v>
      </c>
      <c r="H104">
        <v>2.0562440419447092E-25</v>
      </c>
      <c r="I104">
        <v>1.5790629575402635E-25</v>
      </c>
    </row>
    <row r="105" spans="1:9">
      <c r="A105">
        <v>1.2308502237430902E-24</v>
      </c>
      <c r="B105">
        <v>1.2163807415605978E-24</v>
      </c>
      <c r="C105">
        <v>1.2118469112275686E-24</v>
      </c>
      <c r="D105">
        <v>1.2181701855406272E-24</v>
      </c>
      <c r="E105">
        <v>7.2490950970714039E-25</v>
      </c>
      <c r="F105">
        <v>4.3503159557661927E-25</v>
      </c>
      <c r="G105">
        <v>2.9059490832344013E-25</v>
      </c>
      <c r="H105">
        <v>2.100095328884652E-25</v>
      </c>
      <c r="I105">
        <v>1.6127379209370423E-25</v>
      </c>
    </row>
    <row r="106" spans="1:9">
      <c r="A106">
        <v>1.2592787575677809E-24</v>
      </c>
      <c r="B106">
        <v>1.2446043165467626E-24</v>
      </c>
      <c r="C106">
        <v>1.2401143401619818E-24</v>
      </c>
      <c r="D106">
        <v>1.2469609724888038E-24</v>
      </c>
      <c r="E106">
        <v>7.4169134583744647E-25</v>
      </c>
      <c r="F106">
        <v>4.4510268562401259E-25</v>
      </c>
      <c r="G106">
        <v>2.9732225300092331E-25</v>
      </c>
      <c r="H106">
        <v>2.1487130600571971E-25</v>
      </c>
      <c r="I106">
        <v>1.6500732064421667E-25</v>
      </c>
    </row>
    <row r="107" spans="1:9">
      <c r="A107">
        <v>1.2974466964990786E-24</v>
      </c>
      <c r="B107">
        <v>1.282235749861649E-24</v>
      </c>
      <c r="C107">
        <v>1.2775925043671589E-24</v>
      </c>
      <c r="D107">
        <v>1.2847088931541906E-24</v>
      </c>
      <c r="E107">
        <v>7.6406712734452121E-25</v>
      </c>
      <c r="F107">
        <v>4.5853080568720381E-25</v>
      </c>
      <c r="G107">
        <v>3.0629204590423424E-25</v>
      </c>
      <c r="H107">
        <v>2.2135367016205911E-25</v>
      </c>
      <c r="I107">
        <v>1.6998535871156662E-25</v>
      </c>
    </row>
    <row r="108" spans="1:9">
      <c r="A108">
        <v>1.326928138983943E-24</v>
      </c>
      <c r="B108">
        <v>1.3115661317100167E-24</v>
      </c>
      <c r="C108">
        <v>1.3064951564236938E-24</v>
      </c>
      <c r="D108">
        <v>1.3134996801023672E-24</v>
      </c>
      <c r="E108">
        <v>7.8150707469562355E-25</v>
      </c>
      <c r="F108">
        <v>4.6899684044233812E-25</v>
      </c>
      <c r="G108">
        <v>3.1328320802005013E-25</v>
      </c>
      <c r="H108">
        <v>2.2640610104861774E-25</v>
      </c>
      <c r="I108">
        <v>1.7386530014641289E-25</v>
      </c>
    </row>
    <row r="109" spans="1:9">
      <c r="A109">
        <v>1.3564095814688075E-24</v>
      </c>
      <c r="B109">
        <v>1.3403431101272828E-24</v>
      </c>
      <c r="C109">
        <v>1.335556614260759E-24</v>
      </c>
      <c r="D109">
        <v>1.342930262316059E-24</v>
      </c>
      <c r="E109">
        <v>7.989470220467259E-25</v>
      </c>
      <c r="F109">
        <v>4.7946287519747233E-25</v>
      </c>
      <c r="G109">
        <v>3.2027437013586598E-25</v>
      </c>
      <c r="H109">
        <v>2.3145853193517637E-25</v>
      </c>
      <c r="I109">
        <v>1.7774524158125915E-25</v>
      </c>
    </row>
    <row r="110" spans="1:9">
      <c r="A110">
        <v>1.379836799157673E-24</v>
      </c>
      <c r="B110">
        <v>1.3641394576646375E-24</v>
      </c>
      <c r="C110">
        <v>1.3587422582181989E-24</v>
      </c>
      <c r="D110">
        <v>1.3659628918746001E-24</v>
      </c>
      <c r="E110">
        <v>8.1276735768344846E-25</v>
      </c>
      <c r="F110">
        <v>4.877567140600316E-25</v>
      </c>
      <c r="G110">
        <v>3.2581453634085212E-25</v>
      </c>
      <c r="H110">
        <v>2.3546234509056245E-25</v>
      </c>
      <c r="I110">
        <v>1.8081991215226941E-25</v>
      </c>
    </row>
    <row r="111" spans="1:9">
      <c r="A111">
        <v>1.4193208739141876E-24</v>
      </c>
      <c r="B111">
        <v>1.4028776978417267E-24</v>
      </c>
      <c r="C111">
        <v>1.3978084802286804E-24</v>
      </c>
      <c r="D111">
        <v>1.4056301983365323E-24</v>
      </c>
      <c r="E111">
        <v>8.3613030602171765E-25</v>
      </c>
      <c r="F111">
        <v>5.0177725118483411E-25</v>
      </c>
      <c r="G111">
        <v>3.3518005540166204E-25</v>
      </c>
      <c r="H111">
        <v>2.4223069590085797E-25</v>
      </c>
      <c r="I111">
        <v>1.8601756954612006E-25</v>
      </c>
    </row>
    <row r="112" spans="1:9">
      <c r="A112">
        <v>1.4527507238747037E-24</v>
      </c>
      <c r="B112">
        <v>1.436081903707803E-24</v>
      </c>
      <c r="C112">
        <v>1.4303636652374144E-24</v>
      </c>
      <c r="D112">
        <v>1.4382597568777992E-24</v>
      </c>
      <c r="E112">
        <v>8.5554458703520897E-25</v>
      </c>
      <c r="F112">
        <v>5.1342812006319118E-25</v>
      </c>
      <c r="G112">
        <v>3.4296266983247589E-25</v>
      </c>
      <c r="H112">
        <v>2.4785510009532886E-25</v>
      </c>
      <c r="I112">
        <v>1.9033674963396778E-25</v>
      </c>
    </row>
    <row r="113" spans="1:9">
      <c r="A113">
        <v>1.4830218478546985E-24</v>
      </c>
      <c r="B113">
        <v>1.4659656889872716E-24</v>
      </c>
      <c r="C113">
        <v>1.4603779577576623E-24</v>
      </c>
      <c r="D113">
        <v>1.4683301343570057E-24</v>
      </c>
      <c r="E113">
        <v>8.733135899967093E-25</v>
      </c>
      <c r="F113">
        <v>5.2409162717219589E-25</v>
      </c>
      <c r="G113">
        <v>3.500857406674581E-25</v>
      </c>
      <c r="H113">
        <v>2.5300285986653952E-25</v>
      </c>
      <c r="I113">
        <v>1.9428989751098095E-25</v>
      </c>
    </row>
    <row r="114" spans="1:9">
      <c r="A114">
        <v>1.5151355619899973E-24</v>
      </c>
      <c r="B114">
        <v>1.4975096845600443E-24</v>
      </c>
      <c r="C114">
        <v>1.4919803080832141E-24</v>
      </c>
      <c r="D114">
        <v>1.5003198976327577E-24</v>
      </c>
      <c r="E114">
        <v>8.9239881539980254E-25</v>
      </c>
      <c r="F114">
        <v>5.3554502369668247E-25</v>
      </c>
      <c r="G114">
        <v>3.5773644637910564E-25</v>
      </c>
      <c r="H114">
        <v>2.5853193517635842E-25</v>
      </c>
      <c r="I114">
        <v>1.9853587115666179E-25</v>
      </c>
    </row>
    <row r="115" spans="1:9">
      <c r="A115">
        <v>1.5469860489602526E-24</v>
      </c>
      <c r="B115">
        <v>1.5290536801328168E-24</v>
      </c>
      <c r="C115">
        <v>1.5232650468477053E-24</v>
      </c>
      <c r="D115">
        <v>1.5316698656429942E-24</v>
      </c>
      <c r="E115">
        <v>9.111549851924975E-25</v>
      </c>
      <c r="F115">
        <v>5.4680094786729856E-25</v>
      </c>
      <c r="G115">
        <v>3.6525524337158687E-25</v>
      </c>
      <c r="H115">
        <v>2.6396568160152524E-25</v>
      </c>
      <c r="I115">
        <v>2.0270863836017569E-25</v>
      </c>
    </row>
    <row r="116" spans="1:9">
      <c r="A116">
        <v>1.5780468544353776E-24</v>
      </c>
      <c r="B116">
        <v>1.560044272274488E-24</v>
      </c>
      <c r="C116">
        <v>1.5540733682706049E-24</v>
      </c>
      <c r="D116">
        <v>1.562380038387716E-24</v>
      </c>
      <c r="E116">
        <v>9.295820993747942E-25</v>
      </c>
      <c r="F116">
        <v>5.5785939968404424E-25</v>
      </c>
      <c r="G116">
        <v>3.726421316449017E-25</v>
      </c>
      <c r="H116">
        <v>2.6930409914204003E-25</v>
      </c>
      <c r="I116">
        <v>2.0680819912152268E-25</v>
      </c>
    </row>
    <row r="117" spans="1:9">
      <c r="A117">
        <v>1.6096341142405895E-24</v>
      </c>
      <c r="B117">
        <v>1.5910348644161594E-24</v>
      </c>
      <c r="C117">
        <v>1.5851993012545655E-24</v>
      </c>
      <c r="D117">
        <v>1.5937300063979527E-24</v>
      </c>
      <c r="E117">
        <v>9.4800921355709107E-25</v>
      </c>
      <c r="F117">
        <v>5.6891785150078993E-25</v>
      </c>
      <c r="G117">
        <v>3.8002901991821657E-25</v>
      </c>
      <c r="H117">
        <v>2.7464251668255481E-25</v>
      </c>
      <c r="I117">
        <v>2.1090775988286972E-25</v>
      </c>
    </row>
    <row r="118" spans="1:9">
      <c r="A118">
        <v>1.6404316925506712E-24</v>
      </c>
      <c r="B118">
        <v>1.6214720531267293E-24</v>
      </c>
      <c r="C118">
        <v>1.6150547879942829E-24</v>
      </c>
      <c r="D118">
        <v>1.6238003838771595E-24</v>
      </c>
      <c r="E118">
        <v>9.6610727212898986E-25</v>
      </c>
      <c r="F118">
        <v>5.7977883096366513E-25</v>
      </c>
      <c r="G118">
        <v>3.8728399947236513E-25</v>
      </c>
      <c r="H118">
        <v>2.7988560533841755E-25</v>
      </c>
      <c r="I118">
        <v>2.1493411420204979E-25</v>
      </c>
    </row>
    <row r="119" spans="1:9">
      <c r="A119">
        <v>1.6730718610160566E-24</v>
      </c>
      <c r="B119">
        <v>1.6535694521306031E-24</v>
      </c>
      <c r="C119">
        <v>1.6468159441003651E-24</v>
      </c>
      <c r="D119">
        <v>1.6564299424184262E-24</v>
      </c>
      <c r="E119">
        <v>9.85521553142481E-25</v>
      </c>
      <c r="F119">
        <v>5.9142969984202211E-25</v>
      </c>
      <c r="G119">
        <v>3.9506661390317899E-25</v>
      </c>
      <c r="H119">
        <v>2.8551000953288849E-25</v>
      </c>
      <c r="I119">
        <v>2.1925329428989751E-25</v>
      </c>
    </row>
    <row r="120" spans="1:9">
      <c r="A120">
        <v>1.7141352987628321E-24</v>
      </c>
      <c r="B120">
        <v>1.6945213060320973E-24</v>
      </c>
      <c r="C120">
        <v>1.688105447038272E-24</v>
      </c>
      <c r="D120">
        <v>1.6967370441458733E-24</v>
      </c>
      <c r="E120">
        <v>1.0095426127015466E-24</v>
      </c>
      <c r="F120">
        <v>6.058451816745656E-25</v>
      </c>
      <c r="G120">
        <v>4.0469595040232157E-25</v>
      </c>
      <c r="H120">
        <v>2.9246901811248808E-25</v>
      </c>
      <c r="I120">
        <v>2.2459736456808199E-25</v>
      </c>
    </row>
    <row r="121" spans="1:9">
      <c r="A121">
        <v>1.7462490128981309E-24</v>
      </c>
      <c r="B121">
        <v>1.7260653016048698E-24</v>
      </c>
      <c r="C121">
        <v>1.7198666031443544E-24</v>
      </c>
      <c r="D121">
        <v>1.7287268074216252E-24</v>
      </c>
      <c r="E121">
        <v>1.0282987824942416E-24</v>
      </c>
      <c r="F121">
        <v>6.1710110584518169E-25</v>
      </c>
      <c r="G121">
        <v>4.122147473948028E-25</v>
      </c>
      <c r="H121">
        <v>2.979027645376549E-25</v>
      </c>
      <c r="I121">
        <v>2.2877013177159591E-25</v>
      </c>
    </row>
    <row r="122" spans="1:9">
      <c r="A122">
        <v>1.7802053171887335E-24</v>
      </c>
      <c r="B122">
        <v>1.7598229109020478E-24</v>
      </c>
      <c r="C122">
        <v>1.7532158170557408E-24</v>
      </c>
      <c r="D122">
        <v>1.7626359564939221E-24</v>
      </c>
      <c r="E122">
        <v>1.0483711747285291E-24</v>
      </c>
      <c r="F122">
        <v>6.2914691943127965E-25</v>
      </c>
      <c r="G122">
        <v>4.2026117926394933E-25</v>
      </c>
      <c r="H122">
        <v>3.0371782650142995E-25</v>
      </c>
      <c r="I122">
        <v>2.3323572474377748E-25</v>
      </c>
    </row>
    <row r="123" spans="1:9">
      <c r="A123">
        <v>1.8136351671492496E-24</v>
      </c>
      <c r="B123">
        <v>1.7924737133370228E-24</v>
      </c>
      <c r="C123">
        <v>1.7865650309671272E-24</v>
      </c>
      <c r="D123">
        <v>1.795265515035189E-24</v>
      </c>
      <c r="E123">
        <v>1.0681145113524185E-24</v>
      </c>
      <c r="F123">
        <v>6.4099526066350713E-25</v>
      </c>
      <c r="G123">
        <v>4.2817570241392949E-25</v>
      </c>
      <c r="H123">
        <v>3.0943755958055288E-25</v>
      </c>
      <c r="I123">
        <v>2.3762811127379208E-25</v>
      </c>
    </row>
    <row r="124" spans="1:9">
      <c r="A124">
        <v>1.8557515135561989E-24</v>
      </c>
      <c r="B124">
        <v>1.8345323741007195E-24</v>
      </c>
      <c r="C124">
        <v>1.827854533905034E-24</v>
      </c>
      <c r="D124">
        <v>1.8374920025591811E-24</v>
      </c>
      <c r="E124">
        <v>1.0931227377426784E-24</v>
      </c>
      <c r="F124">
        <v>6.5600315955766191E-25</v>
      </c>
      <c r="G124">
        <v>4.382007650705711E-25</v>
      </c>
      <c r="H124">
        <v>3.1668255481410863E-25</v>
      </c>
      <c r="I124">
        <v>2.4319180087847729E-25</v>
      </c>
    </row>
    <row r="125" spans="1:9">
      <c r="A125">
        <v>1.8907607265069757E-24</v>
      </c>
      <c r="B125">
        <v>1.8688433868289986E-24</v>
      </c>
      <c r="C125">
        <v>1.8612037478164204E-24</v>
      </c>
      <c r="D125">
        <v>1.8720409468969933E-24</v>
      </c>
      <c r="E125">
        <v>1.1135241855873641E-24</v>
      </c>
      <c r="F125">
        <v>6.6824644549763027E-25</v>
      </c>
      <c r="G125">
        <v>4.4637910565888398E-25</v>
      </c>
      <c r="H125">
        <v>3.2259294566253572E-25</v>
      </c>
      <c r="I125">
        <v>2.4773060029282578E-25</v>
      </c>
    </row>
    <row r="126" spans="1:9">
      <c r="A126">
        <v>1.9260331666227952E-24</v>
      </c>
      <c r="B126">
        <v>1.9037078029883784E-24</v>
      </c>
      <c r="C126">
        <v>1.8961410195331109E-24</v>
      </c>
      <c r="D126">
        <v>1.9065898912348048E-24</v>
      </c>
      <c r="E126">
        <v>1.1342546890424482E-24</v>
      </c>
      <c r="F126">
        <v>6.8068720379146922E-25</v>
      </c>
      <c r="G126">
        <v>4.5468935496636331E-25</v>
      </c>
      <c r="H126">
        <v>3.2859866539561489E-25</v>
      </c>
      <c r="I126">
        <v>2.5234260614934115E-25</v>
      </c>
    </row>
    <row r="127" spans="1:9">
      <c r="A127">
        <v>1.9599894709133982E-24</v>
      </c>
      <c r="B127">
        <v>1.9374654122855563E-24</v>
      </c>
      <c r="C127">
        <v>1.9294902334444973E-24</v>
      </c>
      <c r="D127">
        <v>1.9404990403071017E-24</v>
      </c>
      <c r="E127">
        <v>1.1543270812767359E-24</v>
      </c>
      <c r="F127">
        <v>6.9273301737756718E-25</v>
      </c>
      <c r="G127">
        <v>4.6273578683550984E-25</v>
      </c>
      <c r="H127">
        <v>3.3441372735938991E-25</v>
      </c>
      <c r="I127">
        <v>2.5680819912152272E-25</v>
      </c>
    </row>
    <row r="128" spans="1:9">
      <c r="A128">
        <v>1.9955251381942615E-24</v>
      </c>
      <c r="B128">
        <v>1.9723298284449365E-24</v>
      </c>
      <c r="C128">
        <v>1.9644275051611877E-24</v>
      </c>
      <c r="D128">
        <v>1.9756877799104289E-24</v>
      </c>
      <c r="E128">
        <v>1.1753866403422178E-24</v>
      </c>
      <c r="F128">
        <v>7.0537124802527653E-25</v>
      </c>
      <c r="G128">
        <v>4.7117794486215534E-25</v>
      </c>
      <c r="H128">
        <v>3.4051477597712107E-25</v>
      </c>
      <c r="I128">
        <v>2.6149341142020497E-25</v>
      </c>
    </row>
    <row r="129" spans="1:9">
      <c r="A129">
        <v>2.0397473019215584E-24</v>
      </c>
      <c r="B129">
        <v>2.0160486995019368E-24</v>
      </c>
      <c r="C129">
        <v>2.008893123709703E-24</v>
      </c>
      <c r="D129">
        <v>2.0191938579654509E-24</v>
      </c>
      <c r="E129">
        <v>1.2013820335636721E-24</v>
      </c>
      <c r="F129">
        <v>7.209715639810426E-25</v>
      </c>
      <c r="G129">
        <v>4.8159873367629593E-25</v>
      </c>
      <c r="H129">
        <v>3.4804575786463297E-25</v>
      </c>
      <c r="I129">
        <v>2.6727672035139091E-25</v>
      </c>
    </row>
    <row r="130" spans="1:9">
      <c r="A130">
        <v>2.0763358778625952E-24</v>
      </c>
      <c r="B130">
        <v>2.052573325954621E-24</v>
      </c>
      <c r="C130">
        <v>2.0454184532316974E-24</v>
      </c>
      <c r="D130">
        <v>2.0556621880998081E-24</v>
      </c>
      <c r="E130">
        <v>1.2230997038499506E-24</v>
      </c>
      <c r="F130">
        <v>7.3400473933649284E-25</v>
      </c>
      <c r="G130">
        <v>4.9030470914127424E-25</v>
      </c>
      <c r="H130">
        <v>3.5433746425166826E-25</v>
      </c>
      <c r="I130">
        <v>2.7210834553440701E-25</v>
      </c>
    </row>
    <row r="131" spans="1:9">
      <c r="A131">
        <v>2.1108186364832847E-24</v>
      </c>
      <c r="B131">
        <v>2.0863309352517986E-24</v>
      </c>
      <c r="C131">
        <v>2.0787676671430838E-24</v>
      </c>
      <c r="D131">
        <v>2.089571337172105E-24</v>
      </c>
      <c r="E131">
        <v>1.2431720960842381E-24</v>
      </c>
      <c r="F131">
        <v>7.460505529225908E-25</v>
      </c>
      <c r="G131">
        <v>4.9835114101042077E-25</v>
      </c>
      <c r="H131">
        <v>3.6015252621544327E-25</v>
      </c>
      <c r="I131">
        <v>2.7657393850658858E-25</v>
      </c>
    </row>
    <row r="132" spans="1:9">
      <c r="A132">
        <v>2.16030534351145E-24</v>
      </c>
      <c r="B132">
        <v>2.1355838406198118E-24</v>
      </c>
      <c r="C132">
        <v>2.1279974591075116E-24</v>
      </c>
      <c r="D132">
        <v>2.1388355726167626E-24</v>
      </c>
      <c r="E132">
        <v>1.2724580454096742E-24</v>
      </c>
      <c r="F132">
        <v>7.6362559241706161E-25</v>
      </c>
      <c r="G132">
        <v>5.1009101701622475E-25</v>
      </c>
      <c r="H132">
        <v>3.6863679694947567E-25</v>
      </c>
      <c r="I132">
        <v>2.8308931185944362E-25</v>
      </c>
    </row>
    <row r="133" spans="1:9">
      <c r="A133">
        <v>2.1897867859963147E-24</v>
      </c>
      <c r="B133">
        <v>2.164360819037078E-24</v>
      </c>
      <c r="C133">
        <v>2.1565824996029855E-24</v>
      </c>
      <c r="D133">
        <v>2.1676263595649393E-24</v>
      </c>
      <c r="E133">
        <v>1.2895689371503782E-24</v>
      </c>
      <c r="F133">
        <v>7.7389415481832533E-25</v>
      </c>
      <c r="G133">
        <v>5.1695027041287424E-25</v>
      </c>
      <c r="H133">
        <v>3.7359389895138221E-25</v>
      </c>
      <c r="I133">
        <v>2.8689604685212297E-25</v>
      </c>
    </row>
    <row r="134" spans="1:9">
      <c r="A134">
        <v>2.2271650434324818E-24</v>
      </c>
      <c r="B134">
        <v>2.2014388489208633E-24</v>
      </c>
      <c r="C134">
        <v>2.19310782912498E-24</v>
      </c>
      <c r="D134">
        <v>2.2047344849648114E-24</v>
      </c>
      <c r="E134">
        <v>1.3116156630470549E-24</v>
      </c>
      <c r="F134">
        <v>7.8712480252764615E-25</v>
      </c>
      <c r="G134">
        <v>5.2578815459701882E-25</v>
      </c>
      <c r="H134">
        <v>3.7998093422306958E-25</v>
      </c>
      <c r="I134">
        <v>2.9180087847730599E-25</v>
      </c>
    </row>
    <row r="135" spans="1:9">
      <c r="A135">
        <v>2.2655962095288231E-24</v>
      </c>
      <c r="B135">
        <v>2.2390702822357497E-24</v>
      </c>
      <c r="C135">
        <v>2.2312212164522788E-24</v>
      </c>
      <c r="D135">
        <v>2.2431222008957136E-24</v>
      </c>
      <c r="E135">
        <v>1.3343205001645279E-24</v>
      </c>
      <c r="F135">
        <v>8.0075039494470777E-25</v>
      </c>
      <c r="G135">
        <v>5.3488985621949611E-25</v>
      </c>
      <c r="H135">
        <v>3.8655862726406102E-25</v>
      </c>
      <c r="I135">
        <v>2.9685212298682287E-25</v>
      </c>
    </row>
    <row r="136" spans="1:9">
      <c r="A136">
        <v>2.3069228744406421E-24</v>
      </c>
      <c r="B136">
        <v>2.2800221361372438E-24</v>
      </c>
      <c r="C136">
        <v>2.2709226615848817E-24</v>
      </c>
      <c r="D136">
        <v>2.2840690978886757E-24</v>
      </c>
      <c r="E136">
        <v>1.3586706153339914E-24</v>
      </c>
      <c r="F136">
        <v>8.1536334913112166E-25</v>
      </c>
      <c r="G136">
        <v>5.4465110143780501E-25</v>
      </c>
      <c r="H136">
        <v>3.9361296472831269E-25</v>
      </c>
      <c r="I136">
        <v>3.0226939970717422E-25</v>
      </c>
    </row>
    <row r="137" spans="1:9">
      <c r="A137">
        <v>2.3611476704395892E-24</v>
      </c>
      <c r="B137">
        <v>2.3337022689540675E-24</v>
      </c>
      <c r="C137">
        <v>2.3249166269652215E-24</v>
      </c>
      <c r="D137">
        <v>2.337811900191939E-24</v>
      </c>
      <c r="E137">
        <v>1.3905890095426127E-24</v>
      </c>
      <c r="F137">
        <v>8.3451816745655613E-25</v>
      </c>
      <c r="G137">
        <v>5.5744624719693966E-25</v>
      </c>
      <c r="H137">
        <v>4.0285986653956148E-25</v>
      </c>
      <c r="I137">
        <v>3.0937042459736457E-25</v>
      </c>
    </row>
    <row r="138" spans="1:9">
      <c r="A138">
        <v>2.399842063700974E-24</v>
      </c>
      <c r="B138">
        <v>2.3724405091311565E-24</v>
      </c>
      <c r="C138">
        <v>2.36303001429252E-24</v>
      </c>
      <c r="D138">
        <v>2.3761996161228408E-24</v>
      </c>
      <c r="E138">
        <v>1.4136229022704838E-24</v>
      </c>
      <c r="F138">
        <v>8.4834123222748815E-25</v>
      </c>
      <c r="G138">
        <v>5.6667985753858331E-25</v>
      </c>
      <c r="H138">
        <v>4.0953288846520496E-25</v>
      </c>
      <c r="I138">
        <v>3.1449487554904833E-25</v>
      </c>
    </row>
    <row r="139" spans="1:9">
      <c r="A139">
        <v>2.4295867333508817E-24</v>
      </c>
      <c r="B139">
        <v>2.4012174875484227E-24</v>
      </c>
      <c r="C139">
        <v>2.3916150547879939E-24</v>
      </c>
      <c r="D139">
        <v>2.405630198336532E-24</v>
      </c>
      <c r="E139">
        <v>1.4310628496215862E-24</v>
      </c>
      <c r="F139">
        <v>8.5880726698262254E-25</v>
      </c>
      <c r="G139">
        <v>5.7367101965439916E-25</v>
      </c>
      <c r="H139">
        <v>4.1458531935176363E-25</v>
      </c>
      <c r="I139">
        <v>3.1837481698389459E-25</v>
      </c>
    </row>
    <row r="140" spans="1:9">
      <c r="A140">
        <v>2.4809160305343508E-24</v>
      </c>
      <c r="B140">
        <v>2.4521306032097403E-24</v>
      </c>
      <c r="C140">
        <v>2.4424329045577257E-24</v>
      </c>
      <c r="D140">
        <v>2.45617402431222E-24</v>
      </c>
      <c r="E140">
        <v>1.4610069101678183E-24</v>
      </c>
      <c r="F140">
        <v>8.7677725118483415E-25</v>
      </c>
      <c r="G140">
        <v>5.8567471309853577E-25</v>
      </c>
      <c r="H140">
        <v>4.2326024785510011E-25</v>
      </c>
      <c r="I140">
        <v>3.2503660322108344E-25</v>
      </c>
    </row>
    <row r="141" spans="1:9">
      <c r="A141">
        <v>2.5214530139510394E-24</v>
      </c>
      <c r="B141">
        <v>2.4919756502490318E-24</v>
      </c>
      <c r="C141">
        <v>2.4821343496903286E-24</v>
      </c>
      <c r="D141">
        <v>2.4964811260396675E-24</v>
      </c>
      <c r="E141">
        <v>1.4850279697268837E-24</v>
      </c>
      <c r="F141">
        <v>8.9119273301737746E-25</v>
      </c>
      <c r="G141">
        <v>5.953040495976784E-25</v>
      </c>
      <c r="H141">
        <v>4.3021925643469974E-25</v>
      </c>
      <c r="I141">
        <v>3.3038067349926792E-25</v>
      </c>
    </row>
    <row r="142" spans="1:9">
      <c r="A142">
        <v>2.5640958146880756E-24</v>
      </c>
      <c r="B142">
        <v>2.5345877144438295E-24</v>
      </c>
      <c r="C142">
        <v>2.5250119104335399E-24</v>
      </c>
      <c r="D142">
        <v>2.5387076135636595E-24</v>
      </c>
      <c r="E142">
        <v>1.5100361961171436E-24</v>
      </c>
      <c r="F142">
        <v>9.0620063191153224E-25</v>
      </c>
      <c r="G142">
        <v>6.0532911225431992E-25</v>
      </c>
      <c r="H142">
        <v>4.3746425166825544E-25</v>
      </c>
      <c r="I142">
        <v>3.3594436310395313E-25</v>
      </c>
    </row>
    <row r="143" spans="1:9">
      <c r="A143">
        <v>2.6051592524348511E-24</v>
      </c>
      <c r="B143">
        <v>2.5749861649142221E-24</v>
      </c>
      <c r="C143">
        <v>2.5647133555661424E-24</v>
      </c>
      <c r="D143">
        <v>2.579014715291107E-24</v>
      </c>
      <c r="E143">
        <v>1.5343863112866073E-24</v>
      </c>
      <c r="F143">
        <v>9.2081358609794623E-25</v>
      </c>
      <c r="G143">
        <v>6.150903574726289E-25</v>
      </c>
      <c r="H143">
        <v>4.4451858913250715E-25</v>
      </c>
      <c r="I143">
        <v>3.4136163982430453E-25</v>
      </c>
    </row>
    <row r="144" spans="1:9">
      <c r="A144">
        <v>2.6454330086864962E-24</v>
      </c>
      <c r="B144">
        <v>2.6153846153846155E-24</v>
      </c>
      <c r="C144">
        <v>2.6060028585040493E-24</v>
      </c>
      <c r="D144">
        <v>2.6199616122840691E-24</v>
      </c>
      <c r="E144">
        <v>1.5584073708456728E-24</v>
      </c>
      <c r="F144">
        <v>9.3522906793048972E-25</v>
      </c>
      <c r="G144">
        <v>6.2471969397177144E-25</v>
      </c>
      <c r="H144">
        <v>4.5147759771210678E-25</v>
      </c>
      <c r="I144">
        <v>3.4670571010248901E-25</v>
      </c>
    </row>
    <row r="145" spans="1:9">
      <c r="A145">
        <v>2.6875493550934455E-24</v>
      </c>
      <c r="B145">
        <v>2.656889872717211E-24</v>
      </c>
      <c r="C145">
        <v>2.6472923614419562E-24</v>
      </c>
      <c r="D145">
        <v>2.6609085092770312E-24</v>
      </c>
      <c r="E145">
        <v>1.5830865416255346E-24</v>
      </c>
      <c r="F145">
        <v>9.500394944707742E-25</v>
      </c>
      <c r="G145">
        <v>6.3461284790924679E-25</v>
      </c>
      <c r="H145">
        <v>4.5862726406101049E-25</v>
      </c>
      <c r="I145">
        <v>3.5219619326500734E-25</v>
      </c>
    </row>
    <row r="146" spans="1:9">
      <c r="A146">
        <v>2.7428270597525665E-24</v>
      </c>
      <c r="B146">
        <v>2.7111234089651355E-24</v>
      </c>
      <c r="C146">
        <v>2.7012863268222964E-24</v>
      </c>
      <c r="D146">
        <v>2.7159309021113245E-24</v>
      </c>
      <c r="E146">
        <v>1.6156630470549521E-24</v>
      </c>
      <c r="F146">
        <v>9.6958925750394937E-25</v>
      </c>
      <c r="G146">
        <v>6.4767181110671407E-25</v>
      </c>
      <c r="H146">
        <v>4.6806482364156335E-25</v>
      </c>
      <c r="I146">
        <v>3.5944363103953145E-25</v>
      </c>
    </row>
    <row r="147" spans="1:9">
      <c r="A147">
        <v>2.7770465912082125E-24</v>
      </c>
      <c r="B147">
        <v>2.7443276148312117E-24</v>
      </c>
      <c r="C147">
        <v>2.7346355407336824E-24</v>
      </c>
      <c r="D147">
        <v>2.7485604606525914E-24</v>
      </c>
      <c r="E147">
        <v>1.6350773280684435E-24</v>
      </c>
      <c r="F147">
        <v>9.8124012638230653E-25</v>
      </c>
      <c r="G147">
        <v>6.5545442553752797E-25</v>
      </c>
      <c r="H147">
        <v>4.7368922783603429E-25</v>
      </c>
      <c r="I147">
        <v>3.6376281112737921E-25</v>
      </c>
    </row>
    <row r="148" spans="1:9">
      <c r="A148">
        <v>2.8296920242168989E-24</v>
      </c>
      <c r="B148">
        <v>2.7963475373547317E-24</v>
      </c>
      <c r="C148">
        <v>2.7854533905034146E-24</v>
      </c>
      <c r="D148">
        <v>2.8003838771593094E-24</v>
      </c>
      <c r="E148">
        <v>1.6660085554458702E-24</v>
      </c>
      <c r="F148">
        <v>9.9980252764612962E-25</v>
      </c>
      <c r="G148">
        <v>6.6785384513916365E-25</v>
      </c>
      <c r="H148">
        <v>4.8265014299332701E-25</v>
      </c>
      <c r="I148">
        <v>3.7064421669106883E-25</v>
      </c>
    </row>
    <row r="149" spans="1:9">
      <c r="A149">
        <v>2.8744406422742824E-24</v>
      </c>
      <c r="B149">
        <v>2.841173215273935E-24</v>
      </c>
      <c r="C149">
        <v>2.8299190090519295E-24</v>
      </c>
      <c r="D149">
        <v>2.8458093410108764E-24</v>
      </c>
      <c r="E149">
        <v>1.6929911154985191E-24</v>
      </c>
      <c r="F149">
        <v>1.0159952606635072E-24</v>
      </c>
      <c r="G149">
        <v>6.7867036011080331E-25</v>
      </c>
      <c r="H149">
        <v>4.9046711153479502E-25</v>
      </c>
      <c r="I149">
        <v>3.766471449487555E-25</v>
      </c>
    </row>
    <row r="150" spans="1:9">
      <c r="A150">
        <v>2.9191892603316662E-24</v>
      </c>
      <c r="B150">
        <v>2.8859988931931378E-24</v>
      </c>
      <c r="C150">
        <v>2.8759726854057485E-24</v>
      </c>
      <c r="D150">
        <v>2.8905950095969291E-24</v>
      </c>
      <c r="E150">
        <v>1.71964461994077E-24</v>
      </c>
      <c r="F150">
        <v>1.0319905213270142E-24</v>
      </c>
      <c r="G150">
        <v>6.8935496636327662E-25</v>
      </c>
      <c r="H150">
        <v>4.9818875119161104E-25</v>
      </c>
      <c r="I150">
        <v>3.8257686676427528E-25</v>
      </c>
    </row>
    <row r="151" spans="1:9">
      <c r="A151">
        <v>2.9665701500394839E-24</v>
      </c>
      <c r="B151">
        <v>2.9330381848367458E-24</v>
      </c>
      <c r="C151">
        <v>2.9220263617595678E-24</v>
      </c>
      <c r="D151">
        <v>2.9379398592450418E-24</v>
      </c>
      <c r="E151">
        <v>1.7476143468246132E-24</v>
      </c>
      <c r="F151">
        <v>1.0487756714060032E-24</v>
      </c>
      <c r="G151">
        <v>7.0056720749241527E-25</v>
      </c>
      <c r="H151">
        <v>5.0629170638703529E-25</v>
      </c>
      <c r="I151">
        <v>3.8879941434846267E-25</v>
      </c>
    </row>
    <row r="152" spans="1:9">
      <c r="A152">
        <v>3.0165833113977361E-24</v>
      </c>
      <c r="B152">
        <v>2.9806308799114557E-24</v>
      </c>
      <c r="C152">
        <v>2.9696680959186912E-24</v>
      </c>
      <c r="D152">
        <v>2.9852847088931542E-24</v>
      </c>
      <c r="E152">
        <v>1.7759131293188549E-24</v>
      </c>
      <c r="F152">
        <v>1.0657582938388626E-24</v>
      </c>
      <c r="G152">
        <v>7.1191135734072027E-25</v>
      </c>
      <c r="H152">
        <v>5.1448999046711154E-25</v>
      </c>
      <c r="I152">
        <v>3.9509516837481699E-25</v>
      </c>
    </row>
    <row r="153" spans="1:9">
      <c r="A153">
        <v>3.0744932877072908E-24</v>
      </c>
      <c r="B153">
        <v>3.0398450470392918E-24</v>
      </c>
      <c r="C153">
        <v>3.0284262347149435E-24</v>
      </c>
      <c r="D153">
        <v>3.0447856685860527E-24</v>
      </c>
      <c r="E153">
        <v>1.8111220796314575E-24</v>
      </c>
      <c r="F153">
        <v>1.0868878357030015E-24</v>
      </c>
      <c r="G153">
        <v>7.2602559029151823E-25</v>
      </c>
      <c r="H153">
        <v>5.2469018112488078E-25</v>
      </c>
      <c r="I153">
        <v>4.029282576866764E-25</v>
      </c>
    </row>
    <row r="154" spans="1:9">
      <c r="A154">
        <v>3.1245064490655437E-24</v>
      </c>
      <c r="B154">
        <v>3.089097952407305E-24</v>
      </c>
      <c r="C154">
        <v>3.0776560266793709E-24</v>
      </c>
      <c r="D154">
        <v>3.0940499040307104E-24</v>
      </c>
      <c r="E154">
        <v>1.8404080289568934E-24</v>
      </c>
      <c r="F154">
        <v>1.1044628751974723E-24</v>
      </c>
      <c r="G154">
        <v>7.3776546629732221E-25</v>
      </c>
      <c r="H154">
        <v>5.3317445185891319E-25</v>
      </c>
      <c r="I154">
        <v>4.0944363103953144E-25</v>
      </c>
    </row>
    <row r="155" spans="1:9">
      <c r="A155">
        <v>3.1824164253750984E-24</v>
      </c>
      <c r="B155">
        <v>3.1455451023796349E-24</v>
      </c>
      <c r="C155">
        <v>3.1332380498650151E-24</v>
      </c>
      <c r="D155">
        <v>3.1509916826615486E-24</v>
      </c>
      <c r="E155">
        <v>1.8743007568279037E-24</v>
      </c>
      <c r="F155">
        <v>1.1248025276461294E-24</v>
      </c>
      <c r="G155">
        <v>7.5135206437145492E-25</v>
      </c>
      <c r="H155">
        <v>5.4299332697807438E-25</v>
      </c>
      <c r="I155">
        <v>4.1698389458272325E-25</v>
      </c>
    </row>
    <row r="156" spans="1:9">
      <c r="A156">
        <v>3.2376941300342193E-24</v>
      </c>
      <c r="B156">
        <v>3.1997786386275598E-24</v>
      </c>
      <c r="C156">
        <v>3.1872320152453549E-24</v>
      </c>
      <c r="D156">
        <v>3.2047344849648112E-24</v>
      </c>
      <c r="E156">
        <v>1.9065482066469231E-24</v>
      </c>
      <c r="F156">
        <v>1.1441548183254345E-24</v>
      </c>
      <c r="G156">
        <v>7.6427911884975594E-25</v>
      </c>
      <c r="H156">
        <v>5.5233555767397524E-25</v>
      </c>
      <c r="I156">
        <v>4.2415812591508057E-25</v>
      </c>
    </row>
    <row r="157" spans="1:9">
      <c r="A157">
        <v>3.2929718346933399E-24</v>
      </c>
      <c r="B157">
        <v>3.2562257885998894E-24</v>
      </c>
      <c r="C157">
        <v>3.2444020962363028E-24</v>
      </c>
      <c r="D157">
        <v>3.2616762635956494E-24</v>
      </c>
      <c r="E157">
        <v>1.9401118789075353E-24</v>
      </c>
      <c r="F157">
        <v>1.1642969984202211E-24</v>
      </c>
      <c r="G157">
        <v>7.777338082047223E-25</v>
      </c>
      <c r="H157">
        <v>5.6205910390848426E-25</v>
      </c>
      <c r="I157">
        <v>4.316251830161054E-25</v>
      </c>
    </row>
    <row r="158" spans="1:9">
      <c r="A158">
        <v>3.3614108976046327E-24</v>
      </c>
      <c r="B158">
        <v>3.3226342003320424E-24</v>
      </c>
      <c r="C158">
        <v>3.3095124662537712E-24</v>
      </c>
      <c r="D158">
        <v>3.3282149712092136E-24</v>
      </c>
      <c r="E158">
        <v>1.9799276077657122E-24</v>
      </c>
      <c r="F158">
        <v>1.1881911532385466E-24</v>
      </c>
      <c r="G158">
        <v>7.9369476322384908E-25</v>
      </c>
      <c r="H158">
        <v>5.7359389895138229E-25</v>
      </c>
      <c r="I158">
        <v>4.4048316251830157E-25</v>
      </c>
    </row>
    <row r="159" spans="1:9">
      <c r="A159">
        <v>3.421953145564622E-24</v>
      </c>
      <c r="B159">
        <v>3.3818483674598782E-24</v>
      </c>
      <c r="C159">
        <v>3.3698586628553279E-24</v>
      </c>
      <c r="D159">
        <v>3.3877159309021117E-24</v>
      </c>
      <c r="E159">
        <v>2.0151365580783151E-24</v>
      </c>
      <c r="F159">
        <v>1.2093206951026857E-24</v>
      </c>
      <c r="G159">
        <v>8.0780899617464713E-25</v>
      </c>
      <c r="H159">
        <v>5.8379408960915163E-25</v>
      </c>
      <c r="I159">
        <v>4.4831625183016107E-25</v>
      </c>
    </row>
    <row r="160" spans="1:9">
      <c r="A160">
        <v>3.4824953935246112E-24</v>
      </c>
      <c r="B160">
        <v>3.4421693414499169E-24</v>
      </c>
      <c r="C160">
        <v>3.4286168016515802E-24</v>
      </c>
      <c r="D160">
        <v>3.4472168905950099E-24</v>
      </c>
      <c r="E160">
        <v>2.0510036196117143E-24</v>
      </c>
      <c r="F160">
        <v>1.2308451816745656E-24</v>
      </c>
      <c r="G160">
        <v>8.221870465637778E-25</v>
      </c>
      <c r="H160">
        <v>5.9418493803622494E-25</v>
      </c>
      <c r="I160">
        <v>4.5629575402635433E-25</v>
      </c>
    </row>
    <row r="161" spans="1:9">
      <c r="A161">
        <v>3.5404053698341667E-24</v>
      </c>
      <c r="B161">
        <v>3.4991698948533476E-24</v>
      </c>
      <c r="C161">
        <v>3.4857868826425281E-24</v>
      </c>
      <c r="D161">
        <v>3.5047984644913631E-24</v>
      </c>
      <c r="E161">
        <v>2.0848963474827245E-24</v>
      </c>
      <c r="F161">
        <v>1.2511848341232227E-24</v>
      </c>
      <c r="G161">
        <v>8.3577364463791052E-25</v>
      </c>
      <c r="H161">
        <v>6.0400381315538604E-25</v>
      </c>
      <c r="I161">
        <v>4.6383601756954613E-25</v>
      </c>
    </row>
    <row r="162" spans="1:9">
      <c r="A162">
        <v>3.6009476177941559E-24</v>
      </c>
      <c r="B162">
        <v>3.5594908688433871E-24</v>
      </c>
      <c r="C162">
        <v>3.5461330792440848E-24</v>
      </c>
      <c r="D162">
        <v>3.5649392194497763E-24</v>
      </c>
      <c r="E162">
        <v>2.1207634090161236E-24</v>
      </c>
      <c r="F162">
        <v>1.2727093206951028E-24</v>
      </c>
      <c r="G162">
        <v>8.5015169502704128E-25</v>
      </c>
      <c r="H162">
        <v>6.1439466158245954E-25</v>
      </c>
      <c r="I162">
        <v>4.7181551976573939E-25</v>
      </c>
    </row>
    <row r="163" spans="1:9">
      <c r="A163">
        <v>3.6799157673071855E-24</v>
      </c>
      <c r="B163">
        <v>3.6380741560597672E-24</v>
      </c>
      <c r="C163">
        <v>3.6239479117039861E-24</v>
      </c>
      <c r="D163">
        <v>3.6442738323736406E-24</v>
      </c>
      <c r="E163">
        <v>2.1678183613030599E-24</v>
      </c>
      <c r="F163">
        <v>1.3009478672985781E-24</v>
      </c>
      <c r="G163">
        <v>8.6901464186782747E-25</v>
      </c>
      <c r="H163">
        <v>6.2802669208770256E-25</v>
      </c>
      <c r="I163">
        <v>4.8228404099560762E-25</v>
      </c>
    </row>
    <row r="164" spans="1:9">
      <c r="A164">
        <v>3.7509871018689129E-24</v>
      </c>
      <c r="B164">
        <v>3.7089097952407305E-24</v>
      </c>
      <c r="C164">
        <v>3.6954105129426706E-24</v>
      </c>
      <c r="D164">
        <v>3.7146513115802943E-24</v>
      </c>
      <c r="E164">
        <v>2.2099374794340241E-24</v>
      </c>
      <c r="F164">
        <v>1.3262243285939966E-24</v>
      </c>
      <c r="G164">
        <v>8.8589895792111848E-25</v>
      </c>
      <c r="H164">
        <v>6.402287893231648E-25</v>
      </c>
      <c r="I164">
        <v>4.9165446559297213E-25</v>
      </c>
    </row>
    <row r="165" spans="1:9">
      <c r="A165">
        <v>3.8246907080810734E-24</v>
      </c>
      <c r="B165">
        <v>3.7802988378527949E-24</v>
      </c>
      <c r="C165">
        <v>3.7652850563760522E-24</v>
      </c>
      <c r="D165">
        <v>3.7863083813179779E-24</v>
      </c>
      <c r="E165">
        <v>2.2523856531753868E-24</v>
      </c>
      <c r="F165">
        <v>1.351698262243286E-24</v>
      </c>
      <c r="G165">
        <v>9.0291518269357603E-25</v>
      </c>
      <c r="H165">
        <v>6.525262154432794E-25</v>
      </c>
      <c r="I165">
        <v>5.0109809663250369E-25</v>
      </c>
    </row>
    <row r="166" spans="1:9">
      <c r="A166">
        <v>3.8957620426428E-24</v>
      </c>
      <c r="B166">
        <v>3.8516878804648585E-24</v>
      </c>
      <c r="C166">
        <v>3.8367476576147374E-24</v>
      </c>
      <c r="D166">
        <v>3.8579654510556623E-24</v>
      </c>
      <c r="E166">
        <v>2.2948338269167492E-24</v>
      </c>
      <c r="F166">
        <v>1.3771721958925752E-24</v>
      </c>
      <c r="G166">
        <v>9.1993140746603358E-25</v>
      </c>
      <c r="H166">
        <v>6.6482364156339373E-25</v>
      </c>
      <c r="I166">
        <v>5.1054172767203517E-25</v>
      </c>
    </row>
    <row r="167" spans="1:9">
      <c r="A167">
        <v>3.9799947354566994E-24</v>
      </c>
      <c r="B167">
        <v>3.9346983951300496E-24</v>
      </c>
      <c r="C167">
        <v>3.9193266634905504E-24</v>
      </c>
      <c r="D167">
        <v>3.9411388355726172E-24</v>
      </c>
      <c r="E167">
        <v>2.3445212240868705E-24</v>
      </c>
      <c r="F167">
        <v>1.4069905213270141E-24</v>
      </c>
      <c r="G167">
        <v>9.3984962406015026E-25</v>
      </c>
      <c r="H167">
        <v>6.7921830314585313E-25</v>
      </c>
      <c r="I167">
        <v>5.2159590043923861E-25</v>
      </c>
    </row>
    <row r="168" spans="1:9">
      <c r="A168">
        <v>4.0879178731245059E-24</v>
      </c>
      <c r="B168">
        <v>4.0409518539014941E-24</v>
      </c>
      <c r="C168">
        <v>4.0257265364459265E-24</v>
      </c>
      <c r="D168">
        <v>4.0473448496481131E-24</v>
      </c>
      <c r="E168">
        <v>2.4076999012833167E-24</v>
      </c>
      <c r="F168">
        <v>1.444905213270142E-24</v>
      </c>
      <c r="G168">
        <v>9.6517609814008686E-25</v>
      </c>
      <c r="H168">
        <v>6.9752144899904663E-25</v>
      </c>
      <c r="I168">
        <v>5.3565153733528546E-25</v>
      </c>
    </row>
    <row r="169" spans="1:9">
      <c r="A169">
        <v>4.182679652540142E-24</v>
      </c>
      <c r="B169">
        <v>4.1333702268954068E-24</v>
      </c>
      <c r="C169">
        <v>4.1178338891535644E-24</v>
      </c>
      <c r="D169">
        <v>4.1401151631477928E-24</v>
      </c>
      <c r="E169">
        <v>2.4629812438302073E-24</v>
      </c>
      <c r="F169">
        <v>1.4780805687203793E-24</v>
      </c>
      <c r="G169">
        <v>9.8733676296003162E-25</v>
      </c>
      <c r="H169">
        <v>7.1353670162059107E-25</v>
      </c>
      <c r="I169">
        <v>5.4795021961932648E-25</v>
      </c>
    </row>
    <row r="170" spans="1:9">
      <c r="A170">
        <v>4.3011318768096867E-24</v>
      </c>
      <c r="B170">
        <v>4.2501383508577752E-24</v>
      </c>
      <c r="C170">
        <v>4.2337621089407653E-24</v>
      </c>
      <c r="D170">
        <v>4.2571976967370442E-24</v>
      </c>
      <c r="E170">
        <v>2.5324119776242186E-24</v>
      </c>
      <c r="F170">
        <v>1.5197472353870458E-24</v>
      </c>
      <c r="G170">
        <v>1.0151695027041287E-24</v>
      </c>
      <c r="H170">
        <v>7.3365109628217349E-25</v>
      </c>
      <c r="I170">
        <v>5.6339677891654467E-25</v>
      </c>
    </row>
    <row r="171" spans="1:9">
      <c r="A171">
        <v>4.4143195577783623E-24</v>
      </c>
      <c r="B171">
        <v>4.3619258439402322E-24</v>
      </c>
      <c r="C171">
        <v>4.3449261553120531E-24</v>
      </c>
      <c r="D171">
        <v>4.3691618682021758E-24</v>
      </c>
      <c r="E171">
        <v>2.5992102665350444E-24</v>
      </c>
      <c r="F171">
        <v>1.5598341232227488E-24</v>
      </c>
      <c r="G171">
        <v>1.0419469726948952E-24</v>
      </c>
      <c r="H171">
        <v>7.5300285986653953E-25</v>
      </c>
      <c r="I171">
        <v>5.7825768667642755E-25</v>
      </c>
    </row>
    <row r="172" spans="1:9">
      <c r="A172">
        <v>4.5459331403000782E-24</v>
      </c>
      <c r="B172">
        <v>4.4941892639734364E-24</v>
      </c>
      <c r="C172">
        <v>4.4767349531522942E-24</v>
      </c>
      <c r="D172">
        <v>4.5015994881637876E-24</v>
      </c>
      <c r="E172">
        <v>2.6778545574202036E-24</v>
      </c>
      <c r="F172">
        <v>1.6070300157977882E-24</v>
      </c>
      <c r="G172">
        <v>1.0734731565756495E-24</v>
      </c>
      <c r="H172">
        <v>7.7578646329837935E-25</v>
      </c>
      <c r="I172">
        <v>5.9575402635431916E-25</v>
      </c>
    </row>
    <row r="173" spans="1:9">
      <c r="A173">
        <v>4.6933403527244006E-24</v>
      </c>
      <c r="B173">
        <v>4.6402877697841725E-24</v>
      </c>
      <c r="C173">
        <v>4.6228362712402728E-24</v>
      </c>
      <c r="D173">
        <v>4.6474728087012156E-24</v>
      </c>
      <c r="E173">
        <v>2.7647252385653175E-24</v>
      </c>
      <c r="F173">
        <v>1.6591627172195891E-24</v>
      </c>
      <c r="G173">
        <v>1.1082970584355626E-24</v>
      </c>
      <c r="H173">
        <v>8.0095328884652049E-25</v>
      </c>
      <c r="I173">
        <v>6.1508052708638356E-25</v>
      </c>
    </row>
    <row r="174" spans="1:9">
      <c r="A174">
        <v>4.8486443801000259E-24</v>
      </c>
      <c r="B174">
        <v>4.7924737133370221E-24</v>
      </c>
      <c r="C174">
        <v>4.7737017627441637E-24</v>
      </c>
      <c r="D174">
        <v>4.8003838771593099E-24</v>
      </c>
      <c r="E174">
        <v>2.8555445870352088E-24</v>
      </c>
      <c r="F174">
        <v>1.7136650868878356E-24</v>
      </c>
      <c r="G174">
        <v>1.1447038649254715E-24</v>
      </c>
      <c r="H174">
        <v>8.2726406101048616E-25</v>
      </c>
      <c r="I174">
        <v>6.3528550512445097E-25</v>
      </c>
    </row>
    <row r="175" spans="1:9">
      <c r="A175">
        <v>5.006580679126085E-24</v>
      </c>
      <c r="B175">
        <v>4.9490868843386827E-24</v>
      </c>
      <c r="C175">
        <v>4.9309194854692708E-24</v>
      </c>
      <c r="D175">
        <v>4.9571337172104927E-24</v>
      </c>
      <c r="E175">
        <v>2.9489963803882855E-24</v>
      </c>
      <c r="F175">
        <v>1.7697472353870457E-24</v>
      </c>
      <c r="G175">
        <v>1.1821659411687112E-24</v>
      </c>
      <c r="H175">
        <v>8.5433746425166822E-25</v>
      </c>
      <c r="I175">
        <v>6.5607613469985358E-25</v>
      </c>
    </row>
    <row r="176" spans="1:9">
      <c r="A176">
        <v>5.2066333245590938E-24</v>
      </c>
      <c r="B176">
        <v>5.1472053126729388E-24</v>
      </c>
      <c r="C176">
        <v>5.1278386533269804E-24</v>
      </c>
      <c r="D176">
        <v>5.1561100447856683E-24</v>
      </c>
      <c r="E176">
        <v>3.0671273445212239E-24</v>
      </c>
      <c r="F176">
        <v>1.8406398104265404E-24</v>
      </c>
      <c r="G176">
        <v>1.2295211713494262E-24</v>
      </c>
      <c r="H176">
        <v>8.8856053384175398E-25</v>
      </c>
      <c r="I176">
        <v>6.8235724743777458E-25</v>
      </c>
    </row>
    <row r="177" spans="1:9">
      <c r="A177">
        <v>5.4198473282442738E-24</v>
      </c>
      <c r="B177">
        <v>5.3563918096292191E-24</v>
      </c>
      <c r="C177">
        <v>5.33587422582182E-24</v>
      </c>
      <c r="D177">
        <v>5.3653230966090852E-24</v>
      </c>
      <c r="E177">
        <v>3.1915103652517274E-24</v>
      </c>
      <c r="F177">
        <v>1.9152843601895733E-24</v>
      </c>
      <c r="G177">
        <v>1.2793826671943015E-24</v>
      </c>
      <c r="H177">
        <v>9.2459485224022867E-25</v>
      </c>
      <c r="I177">
        <v>7.1002928257686672E-25</v>
      </c>
    </row>
    <row r="178" spans="1:9">
      <c r="A178">
        <v>5.6198999736772826E-24</v>
      </c>
      <c r="B178">
        <v>5.5561704482567785E-24</v>
      </c>
      <c r="C178">
        <v>5.5327933936795288E-24</v>
      </c>
      <c r="D178">
        <v>5.5630198336532316E-24</v>
      </c>
      <c r="E178">
        <v>3.3102994406054623E-24</v>
      </c>
      <c r="F178">
        <v>1.986571879936809E-24</v>
      </c>
      <c r="G178">
        <v>1.3270017148133492E-24</v>
      </c>
      <c r="H178">
        <v>9.590085795996186E-25</v>
      </c>
      <c r="I178">
        <v>7.3645680819912157E-25</v>
      </c>
    </row>
    <row r="179" spans="1:9">
      <c r="A179">
        <v>5.8752303237694131E-24</v>
      </c>
      <c r="B179">
        <v>5.8052019922523518E-24</v>
      </c>
      <c r="C179">
        <v>5.7852945847228833E-24</v>
      </c>
      <c r="D179">
        <v>5.8163787587971847E-24</v>
      </c>
      <c r="E179">
        <v>3.4616650213886143E-24</v>
      </c>
      <c r="F179">
        <v>2.0774091627172197E-24</v>
      </c>
      <c r="G179">
        <v>1.3876797256298641E-24</v>
      </c>
      <c r="H179">
        <v>1.0028598665395615E-24</v>
      </c>
      <c r="I179">
        <v>7.7013177159590042E-25</v>
      </c>
    </row>
    <row r="180" spans="1:9">
      <c r="A180">
        <v>6.1147670439589355E-24</v>
      </c>
      <c r="B180">
        <v>6.0431654676258995E-24</v>
      </c>
      <c r="C180">
        <v>6.0203271399078925E-24</v>
      </c>
      <c r="D180">
        <v>6.0524632117722332E-24</v>
      </c>
      <c r="E180">
        <v>3.5998683777558407E-24</v>
      </c>
      <c r="F180">
        <v>2.1603475513428122E-24</v>
      </c>
      <c r="G180">
        <v>1.4430813876797256E-24</v>
      </c>
      <c r="H180">
        <v>1.0428979980934223E-24</v>
      </c>
      <c r="I180">
        <v>8.0087847730600294E-25</v>
      </c>
    </row>
    <row r="181" spans="1:9">
      <c r="A181">
        <v>6.4016846538562775E-24</v>
      </c>
      <c r="B181">
        <v>6.3254012174875489E-24</v>
      </c>
      <c r="C181">
        <v>6.3030014292520246E-24</v>
      </c>
      <c r="D181">
        <v>6.3378119001919387E-24</v>
      </c>
      <c r="E181">
        <v>3.7709772951628824E-24</v>
      </c>
      <c r="F181">
        <v>2.2630331753554505E-24</v>
      </c>
      <c r="G181">
        <v>1.5116739216462209E-24</v>
      </c>
      <c r="H181">
        <v>1.0924690181124882E-24</v>
      </c>
      <c r="I181">
        <v>8.3894582723279644E-25</v>
      </c>
    </row>
    <row r="182" spans="1:9">
      <c r="A182">
        <v>6.7201895235588317E-24</v>
      </c>
      <c r="B182">
        <v>6.640841173215273E-24</v>
      </c>
      <c r="C182">
        <v>6.6174368747022388E-24</v>
      </c>
      <c r="D182">
        <v>6.6538707613563657E-24</v>
      </c>
      <c r="E182">
        <v>3.958538993089832E-24</v>
      </c>
      <c r="F182">
        <v>2.3755924170616112E-24</v>
      </c>
      <c r="G182">
        <v>1.5868618915710327E-24</v>
      </c>
      <c r="H182">
        <v>1.1468064823641563E-24</v>
      </c>
      <c r="I182">
        <v>8.8067349926793544E-25</v>
      </c>
    </row>
    <row r="183" spans="1:9">
      <c r="A183">
        <v>6.996578046854434E-24</v>
      </c>
      <c r="B183">
        <v>6.91754288876591E-24</v>
      </c>
      <c r="C183">
        <v>6.8889947594092424E-24</v>
      </c>
      <c r="D183">
        <v>6.9289827255278306E-24</v>
      </c>
      <c r="E183">
        <v>4.1197762421849288E-24</v>
      </c>
      <c r="F183">
        <v>2.4723538704581359E-24</v>
      </c>
      <c r="G183">
        <v>1.6514971639625378E-24</v>
      </c>
      <c r="H183">
        <v>1.1935176358436605E-24</v>
      </c>
      <c r="I183">
        <v>9.1654465592972175E-25</v>
      </c>
    </row>
    <row r="184" spans="1:9">
      <c r="A184">
        <v>7.3571992629639372E-24</v>
      </c>
      <c r="B184">
        <v>7.2717210846707242E-24</v>
      </c>
      <c r="C184">
        <v>7.2447197077973634E-24</v>
      </c>
      <c r="D184">
        <v>7.2808701215610998E-24</v>
      </c>
      <c r="E184">
        <v>4.3336623889437313E-24</v>
      </c>
      <c r="F184">
        <v>2.6007109004739337E-24</v>
      </c>
      <c r="G184">
        <v>1.7372378314206568E-24</v>
      </c>
      <c r="H184">
        <v>1.2554814108674928E-24</v>
      </c>
      <c r="I184">
        <v>9.6412884333821379E-25</v>
      </c>
    </row>
    <row r="185" spans="1:9">
      <c r="A185">
        <v>7.7151882074230051E-24</v>
      </c>
      <c r="B185">
        <v>7.6258992805755398E-24</v>
      </c>
      <c r="C185">
        <v>7.5988565983801808E-24</v>
      </c>
      <c r="D185">
        <v>7.6391554702495204E-24</v>
      </c>
      <c r="E185">
        <v>4.5442579795985521E-24</v>
      </c>
      <c r="F185">
        <v>2.7270932069510266E-24</v>
      </c>
      <c r="G185">
        <v>1.8216594116871124E-24</v>
      </c>
      <c r="H185">
        <v>1.3164918970448045E-24</v>
      </c>
      <c r="I185">
        <v>1.0109809663250365E-24</v>
      </c>
    </row>
    <row r="186" spans="1:9">
      <c r="A186">
        <v>8.0942353250855478E-24</v>
      </c>
      <c r="B186">
        <v>8.0022136137244052E-24</v>
      </c>
      <c r="C186">
        <v>7.9704621248213428E-24</v>
      </c>
      <c r="D186">
        <v>8.016634676903392E-24</v>
      </c>
      <c r="E186">
        <v>4.7680157946692986E-24</v>
      </c>
      <c r="F186">
        <v>2.861374407582938E-24</v>
      </c>
      <c r="G186">
        <v>1.9113573407202215E-24</v>
      </c>
      <c r="H186">
        <v>1.3813155386081982E-24</v>
      </c>
      <c r="I186">
        <v>1.0607613469985358E-24</v>
      </c>
    </row>
    <row r="187" spans="1:9">
      <c r="A187">
        <v>8.4706501710976567E-24</v>
      </c>
      <c r="B187">
        <v>8.3729939125622582E-24</v>
      </c>
      <c r="C187">
        <v>8.3404795934572012E-24</v>
      </c>
      <c r="D187">
        <v>8.3877159309021123E-24</v>
      </c>
      <c r="E187">
        <v>4.9884830536360642E-24</v>
      </c>
      <c r="F187">
        <v>2.9936808846761453E-24</v>
      </c>
      <c r="G187">
        <v>1.9997361825616671E-24</v>
      </c>
      <c r="H187">
        <v>1.4451858913250714E-24</v>
      </c>
      <c r="I187">
        <v>1.109809663250366E-24</v>
      </c>
    </row>
    <row r="188" spans="1:9">
      <c r="A188">
        <v>8.9470913398262693E-24</v>
      </c>
      <c r="B188">
        <v>8.8433868289983396E-24</v>
      </c>
      <c r="C188">
        <v>8.810544703827218E-24</v>
      </c>
      <c r="D188">
        <v>8.8547664747280865E-24</v>
      </c>
      <c r="E188">
        <v>5.2681803224744979E-24</v>
      </c>
      <c r="F188">
        <v>3.1615323854660348E-24</v>
      </c>
      <c r="G188">
        <v>2.1118585938530538E-24</v>
      </c>
      <c r="H188">
        <v>1.5262154432793136E-24</v>
      </c>
      <c r="I188">
        <v>1.1720351390922402E-24</v>
      </c>
    </row>
    <row r="189" spans="1:9">
      <c r="A189">
        <v>9.4524874967096596E-24</v>
      </c>
      <c r="B189">
        <v>9.3414499169894847E-24</v>
      </c>
      <c r="C189">
        <v>9.3076067968874058E-24</v>
      </c>
      <c r="D189">
        <v>9.3602047344849657E-24</v>
      </c>
      <c r="E189">
        <v>5.5676209279368211E-24</v>
      </c>
      <c r="F189">
        <v>3.3412322274881516E-24</v>
      </c>
      <c r="G189">
        <v>2.2318955282944204E-24</v>
      </c>
      <c r="H189">
        <v>1.6129647283126787E-24</v>
      </c>
      <c r="I189">
        <v>1.2386530014641289E-24</v>
      </c>
    </row>
    <row r="190" spans="1:9">
      <c r="A190">
        <v>9.9368254803895751E-24</v>
      </c>
      <c r="B190">
        <v>9.8229109020475925E-24</v>
      </c>
      <c r="C190">
        <v>9.7856121962839439E-24</v>
      </c>
      <c r="D190">
        <v>9.8400511836212426E-24</v>
      </c>
      <c r="E190">
        <v>5.853899308983218E-24</v>
      </c>
      <c r="F190">
        <v>3.5130331753554499E-24</v>
      </c>
      <c r="G190">
        <v>2.3466561139691331E-24</v>
      </c>
      <c r="H190">
        <v>1.6959008579599616E-24</v>
      </c>
      <c r="I190">
        <v>1.302342606149341E-24</v>
      </c>
    </row>
    <row r="191" spans="1:9">
      <c r="A191">
        <v>1.0418531192419057E-23</v>
      </c>
      <c r="B191">
        <v>1.0298837852794688E-23</v>
      </c>
      <c r="C191">
        <v>1.0260441480069875E-23</v>
      </c>
      <c r="D191">
        <v>1.0313499680102368E-23</v>
      </c>
      <c r="E191">
        <v>6.1368871339256325E-24</v>
      </c>
      <c r="F191">
        <v>3.6828593996840439E-24</v>
      </c>
      <c r="G191">
        <v>2.4600976124521829E-24</v>
      </c>
      <c r="H191">
        <v>1.7778836987607243E-24</v>
      </c>
      <c r="I191">
        <v>1.3653001464128842E-24</v>
      </c>
    </row>
    <row r="192" spans="1:9">
      <c r="A192">
        <v>1.1039747301921558E-23</v>
      </c>
      <c r="B192">
        <v>1.09131156613171E-23</v>
      </c>
      <c r="C192">
        <v>1.0870255677306655E-23</v>
      </c>
      <c r="D192">
        <v>1.0927703134996801E-23</v>
      </c>
      <c r="E192">
        <v>6.5021388614675877E-24</v>
      </c>
      <c r="F192">
        <v>3.9020537124802528E-24</v>
      </c>
      <c r="G192">
        <v>2.606516290726817E-24</v>
      </c>
      <c r="H192">
        <v>1.8836987607244996E-24</v>
      </c>
      <c r="I192">
        <v>1.4465592972181553E-24</v>
      </c>
    </row>
    <row r="193" spans="1:9">
      <c r="A193">
        <v>1.1660963411424059E-23</v>
      </c>
      <c r="B193">
        <v>1.1527393469839514E-23</v>
      </c>
      <c r="C193">
        <v>1.1481657932348737E-23</v>
      </c>
      <c r="D193">
        <v>1.1541906589891235E-23</v>
      </c>
      <c r="E193">
        <v>6.8673905890095429E-24</v>
      </c>
      <c r="F193">
        <v>4.1212480252764617E-24</v>
      </c>
      <c r="G193">
        <v>2.7529349690014511E-24</v>
      </c>
      <c r="H193">
        <v>1.9895138226882746E-24</v>
      </c>
      <c r="I193">
        <v>1.5278184480234262E-24</v>
      </c>
    </row>
    <row r="194" spans="1:9">
      <c r="A194">
        <v>1.2250592261121346E-23</v>
      </c>
      <c r="B194">
        <v>1.210846707249585E-23</v>
      </c>
      <c r="C194">
        <v>1.2064475146895346E-23</v>
      </c>
      <c r="D194">
        <v>1.2130518234165067E-23</v>
      </c>
      <c r="E194">
        <v>7.2161895360315894E-24</v>
      </c>
      <c r="F194">
        <v>4.3305687203791474E-24</v>
      </c>
      <c r="G194">
        <v>2.892758211317768E-24</v>
      </c>
      <c r="H194">
        <v>2.0905624404194472E-24</v>
      </c>
      <c r="I194">
        <v>1.6054172767203515E-24</v>
      </c>
    </row>
    <row r="195" spans="1:9">
      <c r="A195">
        <v>1.2900763358778625E-23</v>
      </c>
      <c r="B195">
        <v>1.2750415052573326E-23</v>
      </c>
      <c r="C195">
        <v>1.2704462442432903E-23</v>
      </c>
      <c r="D195">
        <v>1.2770313499680103E-23</v>
      </c>
      <c r="E195">
        <v>7.5978940440934519E-24</v>
      </c>
      <c r="F195">
        <v>4.5596366508688779E-24</v>
      </c>
      <c r="G195">
        <v>3.0457723255507189E-24</v>
      </c>
      <c r="H195">
        <v>2.2011439466158246E-24</v>
      </c>
      <c r="I195">
        <v>1.6903367496339676E-24</v>
      </c>
    </row>
    <row r="196" spans="1:9">
      <c r="A196">
        <v>1.3653593050802841E-23</v>
      </c>
      <c r="B196">
        <v>1.3497509684560043E-23</v>
      </c>
      <c r="C196">
        <v>1.3444497379704619E-23</v>
      </c>
      <c r="D196">
        <v>1.3518873960332693E-23</v>
      </c>
      <c r="E196">
        <v>8.0421191181309633E-24</v>
      </c>
      <c r="F196">
        <v>4.8262243285939966E-24</v>
      </c>
      <c r="G196">
        <v>3.2238490964252736E-24</v>
      </c>
      <c r="H196">
        <v>2.3298379408960914E-24</v>
      </c>
      <c r="I196">
        <v>1.7891654465592972E-24</v>
      </c>
    </row>
    <row r="197" spans="1:9">
      <c r="A197">
        <v>1.4411687286127927E-23</v>
      </c>
      <c r="B197">
        <v>1.4244604316546762E-23</v>
      </c>
      <c r="C197">
        <v>1.4192472606002857E-23</v>
      </c>
      <c r="D197">
        <v>1.4267434420985285E-23</v>
      </c>
      <c r="E197">
        <v>8.4896347482724577E-24</v>
      </c>
      <c r="F197">
        <v>5.0947867298578196E-24</v>
      </c>
      <c r="G197">
        <v>3.4032449544914915E-24</v>
      </c>
      <c r="H197">
        <v>2.4594852240228787E-24</v>
      </c>
      <c r="I197">
        <v>1.8887262079062955E-24</v>
      </c>
    </row>
    <row r="198" spans="1:9">
      <c r="A198">
        <v>1.5275072387470385E-23</v>
      </c>
      <c r="B198">
        <v>1.5096845600442722E-23</v>
      </c>
      <c r="C198">
        <v>1.5040495474035252E-23</v>
      </c>
      <c r="D198">
        <v>1.5124760076775432E-23</v>
      </c>
      <c r="E198">
        <v>8.9963803882856209E-24</v>
      </c>
      <c r="F198">
        <v>5.3988941548183258E-24</v>
      </c>
      <c r="G198">
        <v>3.6063843820076505E-24</v>
      </c>
      <c r="H198">
        <v>2.6062917063870354E-24</v>
      </c>
      <c r="I198">
        <v>2.0014641288433382E-24</v>
      </c>
    </row>
    <row r="199" spans="1:9">
      <c r="A199">
        <v>1.6159515662016319E-23</v>
      </c>
      <c r="B199">
        <v>1.5971223021582733E-23</v>
      </c>
      <c r="C199">
        <v>1.5912339209147214E-23</v>
      </c>
      <c r="D199">
        <v>1.5994881637875882E-23</v>
      </c>
      <c r="E199">
        <v>9.5162882527147076E-24</v>
      </c>
      <c r="F199">
        <v>5.7109004739336488E-24</v>
      </c>
      <c r="G199">
        <v>3.8148001582904624E-24</v>
      </c>
      <c r="H199">
        <v>2.7569113441372736E-24</v>
      </c>
      <c r="I199">
        <v>2.1171303074670571E-24</v>
      </c>
    </row>
    <row r="200" spans="1:9">
      <c r="A200">
        <v>1.7294024743353511E-23</v>
      </c>
      <c r="B200">
        <v>1.7094631986718318E-23</v>
      </c>
      <c r="C200">
        <v>1.7023979672860093E-23</v>
      </c>
      <c r="D200">
        <v>1.7120921305182344E-23</v>
      </c>
      <c r="E200">
        <v>1.0187561697926948E-23</v>
      </c>
      <c r="F200">
        <v>6.1137440758293832E-24</v>
      </c>
      <c r="G200">
        <v>4.0838939453897899E-24</v>
      </c>
      <c r="H200">
        <v>2.9513822688274546E-24</v>
      </c>
      <c r="I200">
        <v>2.2664714494875548E-24</v>
      </c>
    </row>
    <row r="201" spans="1:9">
      <c r="A201">
        <v>1.8225848907607263E-23</v>
      </c>
      <c r="B201">
        <v>1.8013281682346431E-23</v>
      </c>
      <c r="C201">
        <v>1.7945053199936477E-23</v>
      </c>
      <c r="D201">
        <v>1.8042226487523993E-23</v>
      </c>
      <c r="E201">
        <v>1.073379401118789E-23</v>
      </c>
      <c r="F201">
        <v>6.441548183254344E-24</v>
      </c>
      <c r="G201">
        <v>4.3028624192059088E-24</v>
      </c>
      <c r="H201">
        <v>3.1096282173498568E-24</v>
      </c>
      <c r="I201">
        <v>2.3879941434846266E-24</v>
      </c>
    </row>
    <row r="202" spans="1:9">
      <c r="A202">
        <v>1.9344564359041851E-23</v>
      </c>
      <c r="B202">
        <v>1.9120088544548979E-23</v>
      </c>
      <c r="C202">
        <v>1.9040813085596313E-23</v>
      </c>
      <c r="D202">
        <v>1.9149072296865004E-23</v>
      </c>
      <c r="E202">
        <v>1.1391905231984205E-23</v>
      </c>
      <c r="F202">
        <v>6.8364928909952602E-24</v>
      </c>
      <c r="G202">
        <v>4.5666798575385835E-24</v>
      </c>
      <c r="H202">
        <v>3.3002859866539564E-24</v>
      </c>
      <c r="I202">
        <v>2.5344070278184481E-24</v>
      </c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6"/>
  <dimension ref="A1:K9"/>
  <sheetViews>
    <sheetView workbookViewId="0">
      <selection activeCell="G12" sqref="G12"/>
    </sheetView>
  </sheetViews>
  <sheetFormatPr defaultColWidth="9" defaultRowHeight="16.5"/>
  <cols>
    <col min="1" max="1" width="9.25" style="4" bestFit="1" customWidth="1"/>
    <col min="2" max="2" width="7.25" style="4" bestFit="1" customWidth="1"/>
    <col min="3" max="3" width="4.5" style="4" bestFit="1" customWidth="1"/>
    <col min="4" max="4" width="9.75" style="4" bestFit="1" customWidth="1"/>
    <col min="5" max="5" width="4.5" style="4" bestFit="1" customWidth="1"/>
    <col min="6" max="6" width="8.75" style="4" bestFit="1" customWidth="1"/>
    <col min="7" max="7" width="11.625" style="4" bestFit="1" customWidth="1"/>
    <col min="8" max="8" width="4.75" style="4" bestFit="1" customWidth="1"/>
    <col min="9" max="9" width="21.375" style="4" bestFit="1" customWidth="1"/>
    <col min="10" max="10" width="4" style="4" bestFit="1" customWidth="1"/>
    <col min="11" max="16384" width="9" style="4"/>
  </cols>
  <sheetData>
    <row r="1" spans="1:11">
      <c r="A1" s="4" t="s">
        <v>28</v>
      </c>
      <c r="B1" s="4" t="s">
        <v>22</v>
      </c>
      <c r="C1" s="4" t="s">
        <v>41</v>
      </c>
      <c r="D1" s="4" t="s">
        <v>99</v>
      </c>
      <c r="E1" s="4">
        <v>3</v>
      </c>
      <c r="F1" s="4" t="s">
        <v>57</v>
      </c>
      <c r="G1" s="4" t="s">
        <v>61</v>
      </c>
      <c r="H1" s="4" t="s">
        <v>60</v>
      </c>
      <c r="I1" s="4" t="s">
        <v>65</v>
      </c>
      <c r="J1" s="39">
        <v>1.6</v>
      </c>
      <c r="K1" s="4">
        <v>32</v>
      </c>
    </row>
    <row r="2" spans="1:11">
      <c r="A2" s="4" t="s">
        <v>29</v>
      </c>
      <c r="B2" s="4" t="s">
        <v>23</v>
      </c>
      <c r="C2" s="4" t="s">
        <v>42</v>
      </c>
      <c r="D2" s="4" t="s">
        <v>100</v>
      </c>
      <c r="E2" s="4">
        <v>2.5</v>
      </c>
      <c r="F2" s="4" t="s">
        <v>58</v>
      </c>
      <c r="G2" s="4" t="s">
        <v>62</v>
      </c>
      <c r="I2" s="4" t="s">
        <v>66</v>
      </c>
      <c r="J2" s="39">
        <v>1.8</v>
      </c>
      <c r="K2" s="4">
        <v>64</v>
      </c>
    </row>
    <row r="3" spans="1:11">
      <c r="B3" s="4" t="s">
        <v>30</v>
      </c>
      <c r="D3" s="4" t="s">
        <v>42</v>
      </c>
      <c r="E3" s="4">
        <v>2</v>
      </c>
      <c r="F3" s="4" t="s">
        <v>59</v>
      </c>
      <c r="G3" s="4" t="s">
        <v>63</v>
      </c>
      <c r="J3" s="39">
        <v>2</v>
      </c>
      <c r="K3" s="4">
        <v>96</v>
      </c>
    </row>
    <row r="4" spans="1:11">
      <c r="D4" s="4" t="s">
        <v>110</v>
      </c>
      <c r="E4" s="4">
        <v>1.5</v>
      </c>
      <c r="J4" s="39">
        <v>2.2000000000000002</v>
      </c>
      <c r="K4" s="4">
        <v>128</v>
      </c>
    </row>
    <row r="5" spans="1:11">
      <c r="J5" s="39">
        <v>2.4</v>
      </c>
      <c r="K5" s="4">
        <v>160</v>
      </c>
    </row>
    <row r="6" spans="1:11">
      <c r="J6" s="39">
        <v>2.6</v>
      </c>
      <c r="K6" s="4">
        <v>192</v>
      </c>
    </row>
    <row r="7" spans="1:11">
      <c r="K7" s="4">
        <v>224</v>
      </c>
    </row>
    <row r="8" spans="1:11">
      <c r="K8" s="4">
        <v>240</v>
      </c>
    </row>
    <row r="9" spans="1:11">
      <c r="K9" s="4">
        <v>256</v>
      </c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4"/>
  <dimension ref="A1:U203"/>
  <sheetViews>
    <sheetView zoomScaleNormal="100" workbookViewId="0">
      <selection activeCell="R1" sqref="R1"/>
    </sheetView>
  </sheetViews>
  <sheetFormatPr defaultColWidth="9" defaultRowHeight="16.5"/>
  <cols>
    <col min="1" max="3" width="9.125" style="2" bestFit="1" customWidth="1"/>
  </cols>
  <sheetData>
    <row r="1" spans="1:21">
      <c r="A1" s="88" t="s">
        <v>103</v>
      </c>
      <c r="B1" s="87"/>
      <c r="C1" s="87"/>
      <c r="D1" s="86"/>
      <c r="F1" s="87" t="s">
        <v>102</v>
      </c>
      <c r="G1" s="87"/>
      <c r="H1" s="87"/>
      <c r="I1" s="86"/>
      <c r="R1" s="87" t="s">
        <v>108</v>
      </c>
      <c r="S1" s="87"/>
      <c r="T1" s="87"/>
      <c r="U1" s="86"/>
    </row>
    <row r="2" spans="1:21">
      <c r="A2" s="82"/>
      <c r="B2" s="83" t="s">
        <v>8</v>
      </c>
      <c r="C2" s="84" t="s">
        <v>14</v>
      </c>
      <c r="D2" s="85" t="s">
        <v>97</v>
      </c>
      <c r="F2" s="82"/>
      <c r="G2" s="83" t="s">
        <v>8</v>
      </c>
      <c r="H2" s="84" t="s">
        <v>101</v>
      </c>
      <c r="I2" s="85" t="s">
        <v>97</v>
      </c>
      <c r="R2" s="82"/>
      <c r="S2" s="83" t="s">
        <v>8</v>
      </c>
      <c r="T2" s="84" t="s">
        <v>14</v>
      </c>
      <c r="U2" s="85" t="s">
        <v>9</v>
      </c>
    </row>
    <row r="3" spans="1:21">
      <c r="A3" s="82">
        <v>380</v>
      </c>
      <c r="B3" s="80">
        <v>0.20955472869764696</v>
      </c>
      <c r="C3" s="81">
        <v>4.5728961758834633E-2</v>
      </c>
      <c r="D3" s="81">
        <v>8.8715577956065356E-2</v>
      </c>
      <c r="F3" s="82">
        <v>380</v>
      </c>
      <c r="G3" s="80">
        <v>9.6987577066957098E-2</v>
      </c>
      <c r="H3" s="81">
        <v>0.1528129730362944</v>
      </c>
      <c r="I3" s="81">
        <v>0.11880894899504117</v>
      </c>
      <c r="S3" s="113">
        <v>24.110514034137235</v>
      </c>
      <c r="T3" s="113">
        <v>1.3451350992685418</v>
      </c>
      <c r="U3" s="113">
        <v>28.618621617232826</v>
      </c>
    </row>
    <row r="4" spans="1:21">
      <c r="A4" s="82">
        <v>382</v>
      </c>
      <c r="B4" s="80">
        <v>0.20640083058786995</v>
      </c>
      <c r="C4" s="81">
        <v>4.4392167418595765E-2</v>
      </c>
      <c r="D4" s="81">
        <v>0.11746903527827177</v>
      </c>
      <c r="F4" s="82">
        <v>382</v>
      </c>
      <c r="G4" s="80">
        <v>8.9507074449801258E-2</v>
      </c>
      <c r="H4" s="81">
        <v>8.9191467844660199E-2</v>
      </c>
      <c r="I4" s="81">
        <v>0.14046323167172176</v>
      </c>
      <c r="S4" s="113">
        <v>23.881728549243768</v>
      </c>
      <c r="T4" s="113">
        <v>1.2526475048632757</v>
      </c>
      <c r="U4" s="113">
        <v>33.248635733065925</v>
      </c>
    </row>
    <row r="5" spans="1:21">
      <c r="A5" s="82">
        <v>384</v>
      </c>
      <c r="B5" s="80">
        <v>0.20171372521815725</v>
      </c>
      <c r="C5" s="81">
        <v>4.3487491389075671E-2</v>
      </c>
      <c r="D5" s="81">
        <v>0.14847804260767225</v>
      </c>
      <c r="F5" s="82">
        <v>384</v>
      </c>
      <c r="G5" s="80">
        <v>8.2026571832645445E-2</v>
      </c>
      <c r="H5" s="81">
        <v>5.0849028479823331E-2</v>
      </c>
      <c r="I5" s="81">
        <v>0.15869086365450796</v>
      </c>
      <c r="S5" s="113">
        <v>23.138584494722235</v>
      </c>
      <c r="T5" s="113">
        <v>1.1667821484909322</v>
      </c>
      <c r="U5" s="113">
        <v>37.989446652056635</v>
      </c>
    </row>
    <row r="6" spans="1:21">
      <c r="A6" s="82">
        <v>386</v>
      </c>
      <c r="B6" s="80">
        <v>0.19356963381315101</v>
      </c>
      <c r="C6" s="81">
        <v>4.1004294210318613E-2</v>
      </c>
      <c r="D6" s="81">
        <v>0.18102362879557957</v>
      </c>
      <c r="F6" s="82">
        <v>386</v>
      </c>
      <c r="G6" s="80">
        <v>7.5081505090353232E-2</v>
      </c>
      <c r="H6" s="81">
        <v>3.1504389535614699E-2</v>
      </c>
      <c r="I6" s="81">
        <v>0.18912339933203695</v>
      </c>
      <c r="S6" s="113">
        <v>22.212760557626197</v>
      </c>
      <c r="T6" s="113">
        <v>1.2161239643691344</v>
      </c>
      <c r="U6" s="113">
        <v>42.802571940244896</v>
      </c>
    </row>
    <row r="7" spans="1:21">
      <c r="A7" s="82">
        <v>388</v>
      </c>
      <c r="B7" s="80">
        <v>0.18716890605409381</v>
      </c>
      <c r="C7" s="81">
        <v>3.9977904461117299E-2</v>
      </c>
      <c r="D7" s="81">
        <v>0.21843193021309054</v>
      </c>
      <c r="F7" s="82">
        <v>388</v>
      </c>
      <c r="G7" s="80">
        <v>6.8671874222924631E-2</v>
      </c>
      <c r="H7" s="81">
        <v>2.4873323986593702E-2</v>
      </c>
      <c r="I7" s="81">
        <v>0.23182429171288627</v>
      </c>
      <c r="S7" s="113">
        <v>20.975903888788153</v>
      </c>
      <c r="T7" s="113">
        <v>1.1713790545080356</v>
      </c>
      <c r="U7" s="113">
        <v>47.657412800788023</v>
      </c>
    </row>
    <row r="8" spans="1:21">
      <c r="A8" s="82">
        <v>390</v>
      </c>
      <c r="B8" s="80">
        <v>0.17872936967282482</v>
      </c>
      <c r="C8" s="81">
        <v>3.8851839975270461E-2</v>
      </c>
      <c r="D8" s="81">
        <v>0.25586130164982501</v>
      </c>
      <c r="F8" s="82">
        <v>390</v>
      </c>
      <c r="G8" s="80">
        <v>6.2262243355496044E-2</v>
      </c>
      <c r="H8" s="81">
        <v>2.4671933876127681E-2</v>
      </c>
      <c r="I8" s="81">
        <v>0.27269789026702956</v>
      </c>
      <c r="S8" s="113">
        <v>19.549276918589996</v>
      </c>
      <c r="T8" s="113">
        <v>1.1197180059461505</v>
      </c>
      <c r="U8" s="113">
        <v>52.119436439228707</v>
      </c>
    </row>
    <row r="9" spans="1:21">
      <c r="A9" s="82">
        <v>392</v>
      </c>
      <c r="B9" s="80">
        <v>0.17033598760865348</v>
      </c>
      <c r="C9" s="81">
        <v>3.6920952169494155E-2</v>
      </c>
      <c r="D9" s="81">
        <v>0.29373047389607532</v>
      </c>
      <c r="F9" s="82">
        <v>392</v>
      </c>
      <c r="G9" s="80">
        <v>6.1630450186093783E-2</v>
      </c>
      <c r="H9" s="81">
        <v>1.9106064058444141E-2</v>
      </c>
      <c r="I9" s="81">
        <v>0.31456687967498714</v>
      </c>
      <c r="S9" s="113">
        <v>18.033939047267175</v>
      </c>
      <c r="T9" s="113">
        <v>1.0486160925080681</v>
      </c>
      <c r="U9" s="113">
        <v>56.395187216736822</v>
      </c>
    </row>
    <row r="10" spans="1:21">
      <c r="A10" s="82">
        <v>394</v>
      </c>
      <c r="B10" s="80">
        <v>0.16067516132851981</v>
      </c>
      <c r="C10" s="81">
        <v>3.482983927619273E-2</v>
      </c>
      <c r="D10" s="81">
        <v>0.32929726947579691</v>
      </c>
      <c r="F10" s="82">
        <v>394</v>
      </c>
      <c r="G10" s="80">
        <v>6.0998657016691507E-2</v>
      </c>
      <c r="H10" s="81">
        <v>1.3699134475000941E-2</v>
      </c>
      <c r="I10" s="81">
        <v>0.35701575378538525</v>
      </c>
      <c r="S10" s="113">
        <v>16.542671486196138</v>
      </c>
      <c r="T10" s="113">
        <v>0.96689258594273553</v>
      </c>
      <c r="U10" s="113">
        <v>60.007497830539123</v>
      </c>
    </row>
    <row r="11" spans="1:21">
      <c r="A11" s="82">
        <v>396</v>
      </c>
      <c r="B11" s="80">
        <v>0.15059561414547951</v>
      </c>
      <c r="C11" s="81">
        <v>3.2098389613783682E-2</v>
      </c>
      <c r="D11" s="81">
        <v>0.36401384874720094</v>
      </c>
      <c r="F11" s="82">
        <v>396</v>
      </c>
      <c r="G11" s="80">
        <v>5.8390725010167663E-2</v>
      </c>
      <c r="H11" s="81">
        <v>7.9307228060235442E-3</v>
      </c>
      <c r="I11" s="81">
        <v>0.39338510789445441</v>
      </c>
      <c r="S11" s="113">
        <v>14.91689010884806</v>
      </c>
      <c r="T11" s="113">
        <v>0.93645352262176329</v>
      </c>
      <c r="U11" s="113">
        <v>63.171614993989742</v>
      </c>
    </row>
    <row r="12" spans="1:21">
      <c r="A12" s="82">
        <v>398</v>
      </c>
      <c r="B12" s="80">
        <v>0.14036962489077404</v>
      </c>
      <c r="C12" s="81">
        <v>2.9871552575066809E-2</v>
      </c>
      <c r="D12" s="81">
        <v>0.39737447192460967</v>
      </c>
      <c r="F12" s="82">
        <v>398</v>
      </c>
      <c r="G12" s="80">
        <v>5.3806654166522243E-2</v>
      </c>
      <c r="H12" s="81">
        <v>3.9699519132117573E-3</v>
      </c>
      <c r="I12" s="81">
        <v>0.42353850559031986</v>
      </c>
      <c r="S12" s="113">
        <v>13.265584935028322</v>
      </c>
      <c r="T12" s="113">
        <v>0.82005908738357458</v>
      </c>
      <c r="U12" s="113">
        <v>65.931173605977889</v>
      </c>
    </row>
    <row r="13" spans="1:21">
      <c r="A13" s="82">
        <v>400</v>
      </c>
      <c r="B13" s="80">
        <v>0.13054712996478271</v>
      </c>
      <c r="C13" s="81">
        <v>2.7131748071623586E-2</v>
      </c>
      <c r="D13" s="81">
        <v>0.4309591037155926</v>
      </c>
      <c r="F13" s="82">
        <v>400</v>
      </c>
      <c r="G13" s="80">
        <v>4.9222583322876823E-2</v>
      </c>
      <c r="H13" s="81">
        <v>2.267777690652588E-3</v>
      </c>
      <c r="I13" s="81">
        <v>0.45382849293096034</v>
      </c>
      <c r="S13" s="113">
        <v>11.602813735215257</v>
      </c>
      <c r="T13" s="113">
        <v>0.77854470938895504</v>
      </c>
      <c r="U13" s="113">
        <v>68.329940933616257</v>
      </c>
    </row>
    <row r="14" spans="1:21">
      <c r="A14" s="82">
        <v>402</v>
      </c>
      <c r="B14" s="80">
        <v>0.12043387668341642</v>
      </c>
      <c r="C14" s="81">
        <v>2.4598491058362388E-2</v>
      </c>
      <c r="D14" s="81">
        <v>0.46345328538452163</v>
      </c>
      <c r="F14" s="82">
        <v>402</v>
      </c>
      <c r="G14" s="80">
        <v>4.4242956445797718E-2</v>
      </c>
      <c r="H14" s="81">
        <v>2.6016179963188973E-3</v>
      </c>
      <c r="I14" s="81">
        <v>0.48221025900538128</v>
      </c>
      <c r="S14" s="113">
        <v>9.9829541493578446</v>
      </c>
      <c r="T14" s="113">
        <v>0.68173449885008908</v>
      </c>
      <c r="U14" s="113">
        <v>70.249422655882029</v>
      </c>
    </row>
    <row r="15" spans="1:21">
      <c r="A15" s="82">
        <v>404</v>
      </c>
      <c r="B15" s="80">
        <v>0.11040680185702507</v>
      </c>
      <c r="C15" s="81">
        <v>2.1630129743858962E-2</v>
      </c>
      <c r="D15" s="81">
        <v>0.4932605600642474</v>
      </c>
      <c r="F15" s="82">
        <v>404</v>
      </c>
      <c r="G15" s="80">
        <v>3.9263329568718607E-2</v>
      </c>
      <c r="H15" s="81">
        <v>3.0246359489399326E-3</v>
      </c>
      <c r="I15" s="81">
        <v>0.51047600050150643</v>
      </c>
      <c r="S15" s="113">
        <v>8.5738865018753003</v>
      </c>
      <c r="T15" s="113">
        <v>0.63520768916073123</v>
      </c>
      <c r="U15" s="113">
        <v>72.137629954109599</v>
      </c>
    </row>
    <row r="16" spans="1:21">
      <c r="A16" s="82">
        <v>406</v>
      </c>
      <c r="B16" s="80">
        <v>0.10187291015269208</v>
      </c>
      <c r="C16" s="81">
        <v>2.017229402617594E-2</v>
      </c>
      <c r="D16" s="81">
        <v>0.51939455225606013</v>
      </c>
      <c r="F16" s="82">
        <v>406</v>
      </c>
      <c r="G16" s="80">
        <v>3.4876945764937606E-2</v>
      </c>
      <c r="H16" s="81">
        <v>4.0028587936777908E-3</v>
      </c>
      <c r="I16" s="81">
        <v>0.53553553367299089</v>
      </c>
      <c r="S16" s="113">
        <v>7.3258659033761164</v>
      </c>
      <c r="T16" s="113">
        <v>0.53972589169321061</v>
      </c>
      <c r="U16" s="113">
        <v>74.083182177785474</v>
      </c>
    </row>
    <row r="17" spans="1:21">
      <c r="A17" s="82">
        <v>408</v>
      </c>
      <c r="B17" s="80">
        <v>9.4463708587574274E-2</v>
      </c>
      <c r="C17" s="81">
        <v>1.8789790301202203E-2</v>
      </c>
      <c r="D17" s="81">
        <v>0.54388182999850265</v>
      </c>
      <c r="F17" s="82">
        <v>408</v>
      </c>
      <c r="G17" s="80">
        <v>3.1083805034454719E-2</v>
      </c>
      <c r="H17" s="81">
        <v>3.2942091157552697E-3</v>
      </c>
      <c r="I17" s="81">
        <v>0.55744989803161638</v>
      </c>
      <c r="S17" s="113">
        <v>6.237198255473861</v>
      </c>
      <c r="T17" s="113">
        <v>0.43508210511155482</v>
      </c>
      <c r="U17" s="113">
        <v>75.842646258172252</v>
      </c>
    </row>
    <row r="18" spans="1:21">
      <c r="A18" s="82">
        <v>410</v>
      </c>
      <c r="B18" s="80">
        <v>8.8769988240338771E-2</v>
      </c>
      <c r="C18" s="81">
        <v>1.8027591501625761E-2</v>
      </c>
      <c r="D18" s="81">
        <v>0.56424489124706112</v>
      </c>
      <c r="F18" s="82">
        <v>410</v>
      </c>
      <c r="G18" s="80">
        <v>2.729066430397184E-2</v>
      </c>
      <c r="H18" s="81">
        <v>2.5186926560571026E-3</v>
      </c>
      <c r="I18" s="81">
        <v>0.57937092909610444</v>
      </c>
      <c r="S18" s="113">
        <v>5.3651629164665371</v>
      </c>
      <c r="T18" s="113">
        <v>0.39398466232596274</v>
      </c>
      <c r="U18" s="113">
        <v>77.538007311573779</v>
      </c>
    </row>
    <row r="19" spans="1:21">
      <c r="A19" s="82">
        <v>412</v>
      </c>
      <c r="B19" s="80">
        <v>8.2386474420027694E-2</v>
      </c>
      <c r="C19" s="81">
        <v>1.6864182359464058E-2</v>
      </c>
      <c r="D19" s="81">
        <v>0.57818653043800095</v>
      </c>
      <c r="F19" s="82">
        <v>412</v>
      </c>
      <c r="G19" s="80">
        <v>2.4116868418556356E-2</v>
      </c>
      <c r="H19" s="81">
        <v>3.427284541690662E-3</v>
      </c>
      <c r="I19" s="81">
        <v>0.58745853242931767</v>
      </c>
      <c r="S19" s="113">
        <v>4.7097046439749999</v>
      </c>
      <c r="T19" s="113">
        <v>0.40774472794450389</v>
      </c>
      <c r="U19" s="113">
        <v>78.551863331132793</v>
      </c>
    </row>
    <row r="20" spans="1:21">
      <c r="A20" s="82">
        <v>414</v>
      </c>
      <c r="B20" s="80">
        <v>7.6624966155478272E-2</v>
      </c>
      <c r="C20" s="81">
        <v>1.5949757367506458E-2</v>
      </c>
      <c r="D20" s="81">
        <v>0.58597750374514401</v>
      </c>
      <c r="F20" s="82">
        <v>414</v>
      </c>
      <c r="G20" s="80">
        <v>2.0943072533140879E-2</v>
      </c>
      <c r="H20" s="81">
        <v>4.5179172918827261E-3</v>
      </c>
      <c r="I20" s="81">
        <v>0.59563229140864971</v>
      </c>
      <c r="S20" s="113">
        <v>4.0949315280500898</v>
      </c>
      <c r="T20" s="113">
        <v>0.37013229927224112</v>
      </c>
      <c r="U20" s="113">
        <v>79.104849052422026</v>
      </c>
    </row>
    <row r="21" spans="1:21">
      <c r="A21" s="82">
        <v>416</v>
      </c>
      <c r="B21" s="80">
        <v>7.0693671701297173E-2</v>
      </c>
      <c r="C21" s="81">
        <v>1.5438006051238332E-2</v>
      </c>
      <c r="D21" s="81">
        <v>0.58771962158047719</v>
      </c>
      <c r="F21" s="82">
        <v>416</v>
      </c>
      <c r="G21" s="80">
        <v>1.8336803849810998E-2</v>
      </c>
      <c r="H21" s="81">
        <v>5.0202408272199562E-3</v>
      </c>
      <c r="I21" s="81">
        <v>0.60367431324434462</v>
      </c>
      <c r="S21" s="113">
        <v>3.5612084396530275</v>
      </c>
      <c r="T21" s="113">
        <v>0.32972216024451134</v>
      </c>
      <c r="U21" s="113">
        <v>79.547295601893637</v>
      </c>
    </row>
    <row r="22" spans="1:21">
      <c r="A22" s="82">
        <v>418</v>
      </c>
      <c r="B22" s="80">
        <v>6.528278991337938E-2</v>
      </c>
      <c r="C22" s="81">
        <v>1.4197069916711035E-2</v>
      </c>
      <c r="D22" s="81">
        <v>0.59399671746700045</v>
      </c>
      <c r="F22" s="82">
        <v>418</v>
      </c>
      <c r="G22" s="80">
        <v>1.6298062368566721E-2</v>
      </c>
      <c r="H22" s="81">
        <v>4.7703459744619535E-3</v>
      </c>
      <c r="I22" s="81">
        <v>0.61144700816278696</v>
      </c>
      <c r="S22" s="113">
        <v>3.0121766321455437</v>
      </c>
      <c r="T22" s="113">
        <v>0.29963599073597519</v>
      </c>
      <c r="U22" s="113">
        <v>79.693985098490032</v>
      </c>
    </row>
    <row r="23" spans="1:21">
      <c r="A23" s="82">
        <v>420</v>
      </c>
      <c r="B23" s="80">
        <v>5.8896201116072286E-2</v>
      </c>
      <c r="C23" s="81">
        <v>1.3006668211208165E-2</v>
      </c>
      <c r="D23" s="81">
        <v>0.60745941168788664</v>
      </c>
      <c r="F23" s="82">
        <v>420</v>
      </c>
      <c r="G23" s="80">
        <v>1.4259320887322444E-2</v>
      </c>
      <c r="H23" s="81">
        <v>4.2109948147068098E-3</v>
      </c>
      <c r="I23" s="81">
        <v>0.61886700031537034</v>
      </c>
      <c r="S23" s="113">
        <v>2.5853128046535754</v>
      </c>
      <c r="T23" s="113">
        <v>0.25773414855395055</v>
      </c>
      <c r="U23" s="113">
        <v>80.671577210450621</v>
      </c>
    </row>
    <row r="24" spans="1:21">
      <c r="A24" s="82">
        <v>422</v>
      </c>
      <c r="B24" s="80">
        <v>5.3005613029391399E-2</v>
      </c>
      <c r="C24" s="81">
        <v>1.2029052936351892E-2</v>
      </c>
      <c r="D24" s="81">
        <v>0.62873373396493426</v>
      </c>
      <c r="F24" s="82">
        <v>422</v>
      </c>
      <c r="G24" s="80">
        <v>1.2229016734905162E-2</v>
      </c>
      <c r="H24" s="81">
        <v>3.4493979655849708E-3</v>
      </c>
      <c r="I24" s="81">
        <v>0.63364394338301588</v>
      </c>
      <c r="S24" s="113">
        <v>2.1418372740924454</v>
      </c>
      <c r="T24" s="113">
        <v>0.23942228021681899</v>
      </c>
      <c r="U24" s="113">
        <v>81.651226975559425</v>
      </c>
    </row>
    <row r="25" spans="1:21">
      <c r="A25" s="82">
        <v>424</v>
      </c>
      <c r="B25" s="80">
        <v>4.7515632154759575E-2</v>
      </c>
      <c r="C25" s="81">
        <v>1.001073097759906E-2</v>
      </c>
      <c r="D25" s="81">
        <v>0.64681855365579755</v>
      </c>
      <c r="F25" s="82">
        <v>424</v>
      </c>
      <c r="G25" s="80">
        <v>1.0198712582487878E-2</v>
      </c>
      <c r="H25" s="81">
        <v>2.6937901687678401E-3</v>
      </c>
      <c r="I25" s="81">
        <v>0.64845908945963793</v>
      </c>
      <c r="S25" s="113">
        <v>1.7356199572780378</v>
      </c>
      <c r="T25" s="113">
        <v>0.14432718431680375</v>
      </c>
      <c r="U25" s="113">
        <v>82.480080525864537</v>
      </c>
    </row>
    <row r="26" spans="1:21">
      <c r="A26" s="82">
        <v>426</v>
      </c>
      <c r="B26" s="80">
        <v>4.271252797438075E-2</v>
      </c>
      <c r="C26" s="81">
        <v>8.9286851335085796E-3</v>
      </c>
      <c r="D26" s="81">
        <v>0.65835082477804208</v>
      </c>
      <c r="F26" s="82">
        <v>426</v>
      </c>
      <c r="G26" s="80">
        <v>8.4725334889641426E-3</v>
      </c>
      <c r="H26" s="81">
        <v>2.2530683142790394E-3</v>
      </c>
      <c r="I26" s="81">
        <v>0.65923982572995332</v>
      </c>
      <c r="S26" s="113">
        <v>1.4312998830268477</v>
      </c>
      <c r="T26" s="113">
        <v>0.16217298078904974</v>
      </c>
      <c r="U26" s="113">
        <v>83.022953250502567</v>
      </c>
    </row>
    <row r="27" spans="1:21">
      <c r="A27" s="82">
        <v>428</v>
      </c>
      <c r="B27" s="80">
        <v>3.9046245755641883E-2</v>
      </c>
      <c r="C27" s="81">
        <v>8.0162573934905081E-3</v>
      </c>
      <c r="D27" s="81">
        <v>0.66418109981110351</v>
      </c>
      <c r="F27" s="82">
        <v>428</v>
      </c>
      <c r="G27" s="80">
        <v>7.0504794543339551E-3</v>
      </c>
      <c r="H27" s="81">
        <v>2.1703733228409486E-3</v>
      </c>
      <c r="I27" s="81">
        <v>0.66623252498575103</v>
      </c>
      <c r="S27" s="113">
        <v>1.1775170796836865</v>
      </c>
      <c r="T27" s="113">
        <v>0.11115958330261511</v>
      </c>
      <c r="U27" s="113">
        <v>83.305041219356639</v>
      </c>
    </row>
    <row r="28" spans="1:21">
      <c r="A28" s="82">
        <v>430</v>
      </c>
      <c r="B28" s="80">
        <v>3.661640091087344E-2</v>
      </c>
      <c r="C28" s="81">
        <v>8.041569101239E-3</v>
      </c>
      <c r="D28" s="81">
        <v>0.66869080570408823</v>
      </c>
      <c r="F28" s="82">
        <v>430</v>
      </c>
      <c r="G28" s="80">
        <v>5.6284254197037668E-3</v>
      </c>
      <c r="H28" s="81">
        <v>2.2230901458747017E-3</v>
      </c>
      <c r="I28" s="81">
        <v>0.67403903216969818</v>
      </c>
      <c r="S28" s="113">
        <v>0.9657345055024078</v>
      </c>
      <c r="T28" s="113">
        <v>0.12256958089438104</v>
      </c>
      <c r="U28" s="113">
        <v>83.544627720507307</v>
      </c>
    </row>
    <row r="29" spans="1:21">
      <c r="A29" s="82">
        <v>432</v>
      </c>
      <c r="B29" s="80">
        <v>3.5401883871308631E-2</v>
      </c>
      <c r="C29" s="81">
        <v>8.5166777655868511E-3</v>
      </c>
      <c r="D29" s="81">
        <v>0.67951340970772012</v>
      </c>
      <c r="F29" s="82">
        <v>432</v>
      </c>
      <c r="G29" s="80">
        <v>5.0194253933807439E-3</v>
      </c>
      <c r="H29" s="81">
        <v>2.3148674364122409E-3</v>
      </c>
      <c r="I29" s="81">
        <v>0.69030363394805017</v>
      </c>
      <c r="S29" s="113">
        <v>0.80551695220945374</v>
      </c>
      <c r="T29" s="113">
        <v>0.10680403418131497</v>
      </c>
      <c r="U29" s="113">
        <v>84.157578108886383</v>
      </c>
    </row>
    <row r="30" spans="1:21">
      <c r="A30" s="82">
        <v>434</v>
      </c>
      <c r="B30" s="80">
        <v>3.4789587728441124E-2</v>
      </c>
      <c r="C30" s="81">
        <v>9.4469423496589371E-3</v>
      </c>
      <c r="D30" s="81">
        <v>0.69438002373130803</v>
      </c>
      <c r="F30" s="82">
        <v>434</v>
      </c>
      <c r="G30" s="80">
        <v>4.4104253670577192E-3</v>
      </c>
      <c r="H30" s="81">
        <v>2.3699206479824465E-3</v>
      </c>
      <c r="I30" s="81">
        <v>0.70653331670974651</v>
      </c>
      <c r="S30" s="113">
        <v>0.76716414609468175</v>
      </c>
      <c r="T30" s="113">
        <v>0.11797452094579396</v>
      </c>
      <c r="U30" s="113">
        <v>85.006988425249105</v>
      </c>
    </row>
    <row r="31" spans="1:21">
      <c r="A31" s="82">
        <v>436</v>
      </c>
      <c r="B31" s="80">
        <v>3.4184430278149561E-2</v>
      </c>
      <c r="C31" s="81">
        <v>1.0206135383940242E-2</v>
      </c>
      <c r="D31" s="81">
        <v>0.71100906428074295</v>
      </c>
      <c r="F31" s="82">
        <v>436</v>
      </c>
      <c r="G31" s="80">
        <v>3.8796405123385901E-3</v>
      </c>
      <c r="H31" s="81">
        <v>2.1899858237948294E-3</v>
      </c>
      <c r="I31" s="81">
        <v>0.72462548821671857</v>
      </c>
      <c r="S31" s="113">
        <v>0.75237422845463953</v>
      </c>
      <c r="T31" s="113">
        <v>0.1583592645491545</v>
      </c>
      <c r="U31" s="113">
        <v>86.201535321911336</v>
      </c>
    </row>
    <row r="32" spans="1:21">
      <c r="A32" s="82">
        <v>438</v>
      </c>
      <c r="B32" s="80">
        <v>3.4204808180364268E-2</v>
      </c>
      <c r="C32" s="81">
        <v>1.16746099287863E-2</v>
      </c>
      <c r="D32" s="81">
        <v>0.72832536713247853</v>
      </c>
      <c r="F32" s="82">
        <v>438</v>
      </c>
      <c r="G32" s="80">
        <v>3.4270708292233549E-3</v>
      </c>
      <c r="H32" s="81">
        <v>1.8086279822603927E-3</v>
      </c>
      <c r="I32" s="81">
        <v>0.74441322570284163</v>
      </c>
      <c r="S32" s="113">
        <v>0.75256225941817434</v>
      </c>
      <c r="T32" s="113">
        <v>0.17577973049017756</v>
      </c>
      <c r="U32" s="113">
        <v>87.374998874603577</v>
      </c>
    </row>
    <row r="33" spans="1:21">
      <c r="A33" s="82">
        <v>440</v>
      </c>
      <c r="B33" s="80">
        <v>3.3973473013883232E-2</v>
      </c>
      <c r="C33" s="81">
        <v>1.3602284334164848E-2</v>
      </c>
      <c r="D33" s="81">
        <v>0.74582755283799218</v>
      </c>
      <c r="F33" s="82">
        <v>440</v>
      </c>
      <c r="G33" s="80">
        <v>2.9745011461081191E-3</v>
      </c>
      <c r="H33" s="81">
        <v>1.4917051040108456E-3</v>
      </c>
      <c r="I33" s="81">
        <v>0.76371530312355074</v>
      </c>
      <c r="S33" s="113">
        <v>0.72228949035025125</v>
      </c>
      <c r="T33" s="113">
        <v>0.18802513777597327</v>
      </c>
      <c r="U33" s="113">
        <v>88.418666550489732</v>
      </c>
    </row>
    <row r="34" spans="1:21">
      <c r="A34" s="82">
        <v>442</v>
      </c>
      <c r="B34" s="80">
        <v>3.345863683323326E-2</v>
      </c>
      <c r="C34" s="81">
        <v>1.5577457741115174E-2</v>
      </c>
      <c r="D34" s="81">
        <v>0.7612694347444795</v>
      </c>
      <c r="F34" s="82">
        <v>442</v>
      </c>
      <c r="G34" s="80">
        <v>2.6741243540432144E-3</v>
      </c>
      <c r="H34" s="81">
        <v>1.6101073517997019E-3</v>
      </c>
      <c r="I34" s="81">
        <v>0.77650966365766816</v>
      </c>
      <c r="S34" s="113">
        <v>0.7131490108091314</v>
      </c>
      <c r="T34" s="113">
        <v>0.24101901662933106</v>
      </c>
      <c r="U34" s="113">
        <v>89.449487340734464</v>
      </c>
    </row>
    <row r="35" spans="1:21">
      <c r="A35" s="82">
        <v>444</v>
      </c>
      <c r="B35" s="80">
        <v>3.2989786884121651E-2</v>
      </c>
      <c r="C35" s="81">
        <v>1.7281914523786718E-2</v>
      </c>
      <c r="D35" s="81">
        <v>0.774371051521902</v>
      </c>
      <c r="F35" s="82">
        <v>444</v>
      </c>
      <c r="G35" s="80">
        <v>2.3737475619783092E-3</v>
      </c>
      <c r="H35" s="81">
        <v>1.8391984745190428E-3</v>
      </c>
      <c r="I35" s="81">
        <v>0.78992102941926656</v>
      </c>
      <c r="S35" s="113">
        <v>0.73422134338754352</v>
      </c>
      <c r="T35" s="113">
        <v>0.29219855056292249</v>
      </c>
      <c r="U35" s="113">
        <v>90.084517569317214</v>
      </c>
    </row>
    <row r="36" spans="1:21">
      <c r="A36" s="82">
        <v>446</v>
      </c>
      <c r="B36" s="80">
        <v>3.1250308980807474E-2</v>
      </c>
      <c r="C36" s="81">
        <v>1.8150936639970458E-2</v>
      </c>
      <c r="D36" s="81">
        <v>0.77825593395416093</v>
      </c>
      <c r="F36" s="82">
        <v>446</v>
      </c>
      <c r="G36" s="80">
        <v>2.0806914569918272E-3</v>
      </c>
      <c r="H36" s="81">
        <v>2.0112356473158356E-3</v>
      </c>
      <c r="I36" s="81">
        <v>0.79992300567846963</v>
      </c>
      <c r="S36" s="113">
        <v>0.67268829814352404</v>
      </c>
      <c r="T36" s="113">
        <v>0.32363937513535951</v>
      </c>
      <c r="U36" s="113">
        <v>90.014412067649289</v>
      </c>
    </row>
    <row r="37" spans="1:21">
      <c r="A37" s="82">
        <v>448</v>
      </c>
      <c r="B37" s="80">
        <v>2.9135861856925412E-2</v>
      </c>
      <c r="C37" s="81">
        <v>1.7501523250662395E-2</v>
      </c>
      <c r="D37" s="81">
        <v>0.7815293112344196</v>
      </c>
      <c r="F37" s="82">
        <v>448</v>
      </c>
      <c r="G37" s="80">
        <v>1.7949560390837674E-3</v>
      </c>
      <c r="H37" s="81">
        <v>2.0874150763564967E-3</v>
      </c>
      <c r="I37" s="81">
        <v>0.80650427831805238</v>
      </c>
      <c r="S37" s="113">
        <v>0.59839965771717607</v>
      </c>
      <c r="T37" s="113">
        <v>0.32319176524425614</v>
      </c>
      <c r="U37" s="113">
        <v>90.054850623731269</v>
      </c>
    </row>
    <row r="38" spans="1:21">
      <c r="A38" s="82">
        <v>450</v>
      </c>
      <c r="B38" s="80">
        <v>2.6858964983704402E-2</v>
      </c>
      <c r="C38" s="81">
        <v>1.6745009697943524E-2</v>
      </c>
      <c r="D38" s="81">
        <v>0.78587574672504079</v>
      </c>
      <c r="F38" s="82">
        <v>450</v>
      </c>
      <c r="G38" s="80">
        <v>1.5092206211757082E-3</v>
      </c>
      <c r="H38" s="81">
        <v>2.15786870813881E-3</v>
      </c>
      <c r="I38" s="81">
        <v>0.81367860431237427</v>
      </c>
      <c r="S38" s="113">
        <v>0.55936531132150979</v>
      </c>
      <c r="T38" s="113">
        <v>0.32793946800037876</v>
      </c>
      <c r="U38" s="113">
        <v>89.735819726642674</v>
      </c>
    </row>
    <row r="39" spans="1:21">
      <c r="A39" s="82">
        <v>452</v>
      </c>
      <c r="B39" s="80">
        <v>2.4498845983874383E-2</v>
      </c>
      <c r="C39" s="81">
        <v>1.5040048658594181E-2</v>
      </c>
      <c r="D39" s="81">
        <v>0.78604424755451319</v>
      </c>
      <c r="F39" s="82">
        <v>452</v>
      </c>
      <c r="G39" s="80">
        <v>1.316324251925037E-3</v>
      </c>
      <c r="H39" s="81">
        <v>2.3014743359286343E-3</v>
      </c>
      <c r="I39" s="81">
        <v>0.81325066720098904</v>
      </c>
      <c r="S39" s="113">
        <v>0.47354109615777679</v>
      </c>
      <c r="T39" s="113">
        <v>0.29854097186400103</v>
      </c>
      <c r="U39" s="113">
        <v>89.384925719228548</v>
      </c>
    </row>
    <row r="40" spans="1:21">
      <c r="A40" s="82">
        <v>454</v>
      </c>
      <c r="B40" s="80">
        <v>2.2996418156056325E-2</v>
      </c>
      <c r="C40" s="81">
        <v>1.4616987193304167E-2</v>
      </c>
      <c r="D40" s="81">
        <v>0.78673808496839714</v>
      </c>
      <c r="F40" s="82">
        <v>454</v>
      </c>
      <c r="G40" s="80">
        <v>1.1234278826743659E-3</v>
      </c>
      <c r="H40" s="81">
        <v>2.4301402398374831E-3</v>
      </c>
      <c r="I40" s="81">
        <v>0.81244505386235566</v>
      </c>
      <c r="S40" s="113">
        <v>0.43640733666949294</v>
      </c>
      <c r="T40" s="113">
        <v>0.28344473865724035</v>
      </c>
      <c r="U40" s="113">
        <v>88.966590862567372</v>
      </c>
    </row>
    <row r="41" spans="1:21">
      <c r="A41" s="82">
        <v>456</v>
      </c>
      <c r="B41" s="80">
        <v>2.198858703007529E-2</v>
      </c>
      <c r="C41" s="81">
        <v>1.4794119710614409E-2</v>
      </c>
      <c r="D41" s="81">
        <v>0.78469107970332463</v>
      </c>
      <c r="F41" s="82">
        <v>456</v>
      </c>
      <c r="G41" s="80">
        <v>9.9467511834787055E-4</v>
      </c>
      <c r="H41" s="81">
        <v>2.3876903636118013E-3</v>
      </c>
      <c r="I41" s="81">
        <v>0.80808455039579263</v>
      </c>
      <c r="S41" s="113">
        <v>0.35508756784716577</v>
      </c>
      <c r="T41" s="113">
        <v>0.27048500855271773</v>
      </c>
      <c r="U41" s="113">
        <v>88.583984841558731</v>
      </c>
    </row>
    <row r="42" spans="1:21">
      <c r="A42" s="82">
        <v>458</v>
      </c>
      <c r="B42" s="80">
        <v>2.2090436991605452E-2</v>
      </c>
      <c r="C42" s="81">
        <v>1.6454004157922593E-2</v>
      </c>
      <c r="D42" s="81">
        <v>0.78139975681776785</v>
      </c>
      <c r="F42" s="82">
        <v>458</v>
      </c>
      <c r="G42" s="80">
        <v>9.3006595894555121E-4</v>
      </c>
      <c r="H42" s="81">
        <v>2.2604394555771428E-3</v>
      </c>
      <c r="I42" s="81">
        <v>0.80017066020236716</v>
      </c>
      <c r="S42" s="113">
        <v>0.30665214989773332</v>
      </c>
      <c r="T42" s="113">
        <v>0.24105495794543094</v>
      </c>
      <c r="U42" s="113">
        <v>88.046385668832087</v>
      </c>
    </row>
    <row r="43" spans="1:21">
      <c r="A43" s="82">
        <v>460</v>
      </c>
      <c r="B43" s="80">
        <v>2.24204878183056E-2</v>
      </c>
      <c r="C43" s="81">
        <v>1.9710216936364228E-2</v>
      </c>
      <c r="D43" s="81">
        <v>0.77875018459749357</v>
      </c>
      <c r="F43" s="82">
        <v>460</v>
      </c>
      <c r="G43" s="80">
        <v>8.6545679954323177E-4</v>
      </c>
      <c r="H43" s="81">
        <v>2.3771930686381643E-3</v>
      </c>
      <c r="I43" s="81">
        <v>0.79183375355586039</v>
      </c>
      <c r="S43" s="113">
        <v>0.34798688305731101</v>
      </c>
      <c r="T43" s="113">
        <v>0.34097161428402673</v>
      </c>
      <c r="U43" s="113">
        <v>87.506254004048458</v>
      </c>
    </row>
    <row r="44" spans="1:21">
      <c r="A44" s="82">
        <v>462</v>
      </c>
      <c r="B44" s="80">
        <v>2.3785698505446484E-2</v>
      </c>
      <c r="C44" s="81">
        <v>2.6505125106675003E-2</v>
      </c>
      <c r="D44" s="81">
        <v>0.77432959371307808</v>
      </c>
      <c r="F44" s="82">
        <v>462</v>
      </c>
      <c r="G44" s="80">
        <v>7.7923020065430752E-4</v>
      </c>
      <c r="H44" s="81">
        <v>2.8729023209355803E-3</v>
      </c>
      <c r="I44" s="81">
        <v>0.78260578474955345</v>
      </c>
      <c r="S44" s="113">
        <v>0.38736090130617118</v>
      </c>
      <c r="T44" s="113">
        <v>0.45164090799174972</v>
      </c>
      <c r="U44" s="113">
        <v>87.00356034359929</v>
      </c>
    </row>
    <row r="45" spans="1:21">
      <c r="A45" s="82">
        <v>464</v>
      </c>
      <c r="B45" s="80">
        <v>2.5538979199392263E-2</v>
      </c>
      <c r="C45" s="81">
        <v>3.6795313157634749E-2</v>
      </c>
      <c r="D45" s="81">
        <v>0.77061118519619465</v>
      </c>
      <c r="F45" s="82">
        <v>464</v>
      </c>
      <c r="G45" s="80">
        <v>6.9300360176538305E-4</v>
      </c>
      <c r="H45" s="81">
        <v>4.1106946420433402E-3</v>
      </c>
      <c r="I45" s="81">
        <v>0.77390521927685674</v>
      </c>
      <c r="S45" s="113">
        <v>0.36841300445134073</v>
      </c>
      <c r="T45" s="113">
        <v>0.6036065582766611</v>
      </c>
      <c r="U45" s="113">
        <v>86.793092471870168</v>
      </c>
    </row>
    <row r="46" spans="1:21">
      <c r="A46" s="82">
        <v>466</v>
      </c>
      <c r="B46" s="80">
        <v>2.7740623178990714E-2</v>
      </c>
      <c r="C46" s="81">
        <v>5.1854928952804816E-2</v>
      </c>
      <c r="D46" s="81">
        <v>0.76443037267297409</v>
      </c>
      <c r="F46" s="82">
        <v>466</v>
      </c>
      <c r="G46" s="80">
        <v>6.5093932593876557E-4</v>
      </c>
      <c r="H46" s="81">
        <v>5.9200136688004291E-3</v>
      </c>
      <c r="I46" s="81">
        <v>0.76388709888996387</v>
      </c>
      <c r="S46" s="113">
        <v>0.3814382252509681</v>
      </c>
      <c r="T46" s="113">
        <v>0.8443676425508001</v>
      </c>
      <c r="U46" s="113">
        <v>86.420719478771673</v>
      </c>
    </row>
    <row r="47" spans="1:21">
      <c r="A47" s="82">
        <v>468</v>
      </c>
      <c r="B47" s="80">
        <v>3.0615973854904274E-2</v>
      </c>
      <c r="C47" s="81">
        <v>7.4262395083960112E-2</v>
      </c>
      <c r="D47" s="81">
        <v>0.75820755853470834</v>
      </c>
      <c r="F47" s="82">
        <v>468</v>
      </c>
      <c r="G47" s="80">
        <v>6.5303737317445496E-4</v>
      </c>
      <c r="H47" s="81">
        <v>9.0523209310437985E-3</v>
      </c>
      <c r="I47" s="81">
        <v>0.7525770797182233</v>
      </c>
      <c r="S47" s="113">
        <v>0.47165428419904476</v>
      </c>
      <c r="T47" s="113">
        <v>1.2896563404500654</v>
      </c>
      <c r="U47" s="113">
        <v>86.068981906497086</v>
      </c>
    </row>
    <row r="48" spans="1:21">
      <c r="A48" s="82">
        <v>470</v>
      </c>
      <c r="B48" s="80">
        <v>3.3387764051537483E-2</v>
      </c>
      <c r="C48" s="81">
        <v>0.10641253527522646</v>
      </c>
      <c r="D48" s="81">
        <v>0.75087592351149945</v>
      </c>
      <c r="F48" s="82">
        <v>470</v>
      </c>
      <c r="G48" s="80">
        <v>6.5513542041014425E-4</v>
      </c>
      <c r="H48" s="81">
        <v>1.5180602248396428E-2</v>
      </c>
      <c r="I48" s="81">
        <v>0.74184748906197662</v>
      </c>
      <c r="S48" s="113">
        <v>0.60066036315384741</v>
      </c>
      <c r="T48" s="113">
        <v>2.0665297616183276</v>
      </c>
      <c r="U48" s="113">
        <v>85.49473299900724</v>
      </c>
    </row>
    <row r="49" spans="1:21">
      <c r="A49" s="82">
        <v>472</v>
      </c>
      <c r="B49" s="80">
        <v>3.6642681582434181E-2</v>
      </c>
      <c r="C49" s="81">
        <v>0.1502481714070881</v>
      </c>
      <c r="D49" s="81">
        <v>0.74139640222550018</v>
      </c>
      <c r="F49" s="82">
        <v>472</v>
      </c>
      <c r="G49" s="80">
        <v>6.5085185422565173E-4</v>
      </c>
      <c r="H49" s="81">
        <v>2.5096761707192442E-2</v>
      </c>
      <c r="I49" s="81">
        <v>0.72832146123528352</v>
      </c>
      <c r="S49" s="113">
        <v>0.76222050559008381</v>
      </c>
      <c r="T49" s="113">
        <v>3.3254327596661262</v>
      </c>
      <c r="U49" s="113">
        <v>85.029729399780024</v>
      </c>
    </row>
    <row r="50" spans="1:21">
      <c r="A50" s="82">
        <v>474</v>
      </c>
      <c r="B50" s="80">
        <v>3.9746391321691159E-2</v>
      </c>
      <c r="C50" s="81">
        <v>0.20522684194286023</v>
      </c>
      <c r="D50" s="81">
        <v>0.73142489450752557</v>
      </c>
      <c r="F50" s="82">
        <v>474</v>
      </c>
      <c r="G50" s="80">
        <v>6.4656828804115932E-4</v>
      </c>
      <c r="H50" s="81">
        <v>4.0915757443013852E-2</v>
      </c>
      <c r="I50" s="81">
        <v>0.71454875779734028</v>
      </c>
      <c r="S50" s="113">
        <v>0.90299616451755149</v>
      </c>
      <c r="T50" s="113">
        <v>5.2490622675047662</v>
      </c>
      <c r="U50" s="113">
        <v>84.157283202772717</v>
      </c>
    </row>
    <row r="51" spans="1:21">
      <c r="A51" s="82">
        <v>476</v>
      </c>
      <c r="B51" s="80">
        <v>4.2249758767560291E-2</v>
      </c>
      <c r="C51" s="81">
        <v>0.26849957575204841</v>
      </c>
      <c r="D51" s="81">
        <v>0.72086314940449059</v>
      </c>
      <c r="F51" s="82">
        <v>476</v>
      </c>
      <c r="G51" s="80">
        <v>6.4655306360901412E-4</v>
      </c>
      <c r="H51" s="81">
        <v>6.5046044061254152E-2</v>
      </c>
      <c r="I51" s="81">
        <v>0.69750852809133668</v>
      </c>
      <c r="S51" s="113">
        <v>1.0875567704832445</v>
      </c>
      <c r="T51" s="113">
        <v>8.0689809922322837</v>
      </c>
      <c r="U51" s="113">
        <v>83.39615750096641</v>
      </c>
    </row>
    <row r="52" spans="1:21">
      <c r="A52" s="82">
        <v>478</v>
      </c>
      <c r="B52" s="80">
        <v>4.4182960221622984E-2</v>
      </c>
      <c r="C52" s="81">
        <v>0.3351982096554515</v>
      </c>
      <c r="D52" s="81">
        <v>0.70796592466713715</v>
      </c>
      <c r="F52" s="82">
        <v>478</v>
      </c>
      <c r="G52" s="80">
        <v>6.5080618092921625E-4</v>
      </c>
      <c r="H52" s="81">
        <v>9.8466930334375605E-2</v>
      </c>
      <c r="I52" s="81">
        <v>0.67717064074491629</v>
      </c>
      <c r="S52" s="113">
        <v>1.3375132557003364</v>
      </c>
      <c r="T52" s="113">
        <v>11.997012786288584</v>
      </c>
      <c r="U52" s="113">
        <v>82.444423971886167</v>
      </c>
    </row>
    <row r="53" spans="1:21">
      <c r="A53" s="82">
        <v>480</v>
      </c>
      <c r="B53" s="80">
        <v>4.5064915038484477E-2</v>
      </c>
      <c r="C53" s="81">
        <v>0.40399566861311059</v>
      </c>
      <c r="D53" s="81">
        <v>0.69931083338718658</v>
      </c>
      <c r="F53" s="82">
        <v>480</v>
      </c>
      <c r="G53" s="80">
        <v>6.5505929824941826E-4</v>
      </c>
      <c r="H53" s="81">
        <v>0.14072956640833298</v>
      </c>
      <c r="I53" s="81">
        <v>0.65653091818503029</v>
      </c>
      <c r="S53" s="113">
        <v>1.625540015947724</v>
      </c>
      <c r="T53" s="113">
        <v>17.148166413594772</v>
      </c>
      <c r="U53" s="113">
        <v>82.216001050410398</v>
      </c>
    </row>
    <row r="54" spans="1:21">
      <c r="A54" s="82">
        <v>482</v>
      </c>
      <c r="B54" s="80">
        <v>4.6516205306741908E-2</v>
      </c>
      <c r="C54" s="81">
        <v>0.46975865919454501</v>
      </c>
      <c r="D54" s="81">
        <v>0.69069855448791995</v>
      </c>
      <c r="F54" s="82">
        <v>482</v>
      </c>
      <c r="G54" s="80">
        <v>6.0578923390996141E-4</v>
      </c>
      <c r="H54" s="81">
        <v>0.1945816768295173</v>
      </c>
      <c r="I54" s="81">
        <v>0.63261325362873289</v>
      </c>
      <c r="S54" s="113">
        <v>1.8503324399851373</v>
      </c>
      <c r="T54" s="113">
        <v>23.231167053033495</v>
      </c>
      <c r="U54" s="113">
        <v>81.606344879206631</v>
      </c>
    </row>
    <row r="55" spans="1:21">
      <c r="A55" s="82">
        <v>484</v>
      </c>
      <c r="B55" s="80">
        <v>4.5737741757459885E-2</v>
      </c>
      <c r="C55" s="81">
        <v>0.52045325398218423</v>
      </c>
      <c r="D55" s="81">
        <v>0.66821771406645147</v>
      </c>
      <c r="F55" s="82">
        <v>484</v>
      </c>
      <c r="G55" s="80">
        <v>5.5651916957050456E-4</v>
      </c>
      <c r="H55" s="81">
        <v>0.25496251240044987</v>
      </c>
      <c r="I55" s="81">
        <v>0.60905648462159589</v>
      </c>
      <c r="S55" s="113">
        <v>2.0150263631331478</v>
      </c>
      <c r="T55" s="113">
        <v>29.618488616008971</v>
      </c>
      <c r="U55" s="113">
        <v>79.34278352371264</v>
      </c>
    </row>
    <row r="56" spans="1:21">
      <c r="A56" s="82">
        <v>486</v>
      </c>
      <c r="B56" s="80">
        <v>4.4326742586497422E-2</v>
      </c>
      <c r="C56" s="81">
        <v>0.56503578324034309</v>
      </c>
      <c r="D56" s="81">
        <v>0.64862201283287757</v>
      </c>
      <c r="F56" s="82">
        <v>486</v>
      </c>
      <c r="G56" s="80">
        <v>5.0784880055297871E-4</v>
      </c>
      <c r="H56" s="81">
        <v>0.31964098660322277</v>
      </c>
      <c r="I56" s="81">
        <v>0.58387659003915782</v>
      </c>
      <c r="S56" s="113">
        <v>2.2017129636566581</v>
      </c>
      <c r="T56" s="113">
        <v>36.275706165761342</v>
      </c>
      <c r="U56" s="113">
        <v>77.079582293735541</v>
      </c>
    </row>
    <row r="57" spans="1:21">
      <c r="A57" s="82">
        <v>488</v>
      </c>
      <c r="B57" s="80">
        <v>4.3789798211110877E-2</v>
      </c>
      <c r="C57" s="81">
        <v>0.60326390714210176</v>
      </c>
      <c r="D57" s="81">
        <v>0.62822030179307342</v>
      </c>
      <c r="F57" s="82">
        <v>488</v>
      </c>
      <c r="G57" s="80">
        <v>4.5977812685738385E-4</v>
      </c>
      <c r="H57" s="81">
        <v>0.38569825911131039</v>
      </c>
      <c r="I57" s="81">
        <v>0.55700267178805474</v>
      </c>
      <c r="S57" s="113">
        <v>2.3246663613695144</v>
      </c>
      <c r="T57" s="113">
        <v>42.34322486719222</v>
      </c>
      <c r="U57" s="113">
        <v>74.691953619003243</v>
      </c>
    </row>
    <row r="58" spans="1:21">
      <c r="A58" s="82">
        <v>490</v>
      </c>
      <c r="B58" s="80">
        <v>4.1492810169864495E-2</v>
      </c>
      <c r="C58" s="81">
        <v>0.63489094529815648</v>
      </c>
      <c r="D58" s="81">
        <v>0.60549139674828389</v>
      </c>
      <c r="F58" s="82">
        <v>490</v>
      </c>
      <c r="G58" s="80">
        <v>4.1170745316178894E-4</v>
      </c>
      <c r="H58" s="81">
        <v>0.44954418922996719</v>
      </c>
      <c r="I58" s="81">
        <v>0.53028979873859949</v>
      </c>
      <c r="S58" s="113">
        <v>2.2794699287750886</v>
      </c>
      <c r="T58" s="113">
        <v>47.404492290483127</v>
      </c>
      <c r="U58" s="113">
        <v>72.160752145542546</v>
      </c>
    </row>
    <row r="59" spans="1:21">
      <c r="A59" s="82">
        <v>492</v>
      </c>
      <c r="B59" s="80">
        <v>3.8807722459655705E-2</v>
      </c>
      <c r="C59" s="81">
        <v>0.6620569729364848</v>
      </c>
      <c r="D59" s="81">
        <v>0.58355043725579636</v>
      </c>
      <c r="F59" s="82">
        <v>492</v>
      </c>
      <c r="G59" s="80">
        <v>4.0429838530176986E-4</v>
      </c>
      <c r="H59" s="81">
        <v>0.50552866552667408</v>
      </c>
      <c r="I59" s="81">
        <v>0.49781578986606057</v>
      </c>
      <c r="S59" s="113">
        <v>2.2132736322689133</v>
      </c>
      <c r="T59" s="113">
        <v>51.566157586015279</v>
      </c>
      <c r="U59" s="113">
        <v>69.69969270035881</v>
      </c>
    </row>
    <row r="60" spans="1:21">
      <c r="A60" s="82">
        <v>494</v>
      </c>
      <c r="B60" s="80">
        <v>3.7795708969464666E-2</v>
      </c>
      <c r="C60" s="81">
        <v>0.68515228472570533</v>
      </c>
      <c r="D60" s="81">
        <v>0.558692679165957</v>
      </c>
      <c r="F60" s="82">
        <v>494</v>
      </c>
      <c r="G60" s="80">
        <v>3.9688931744175066E-4</v>
      </c>
      <c r="H60" s="81">
        <v>0.55552408951867249</v>
      </c>
      <c r="I60" s="81">
        <v>0.46520195433590483</v>
      </c>
      <c r="S60" s="113">
        <v>2.1591180042580547</v>
      </c>
      <c r="T60" s="113">
        <v>54.741344206477294</v>
      </c>
      <c r="U60" s="113">
        <v>67.184006253507178</v>
      </c>
    </row>
    <row r="61" spans="1:21">
      <c r="A61" s="82">
        <v>496</v>
      </c>
      <c r="B61" s="80">
        <v>3.5635779870722036E-2</v>
      </c>
      <c r="C61" s="81">
        <v>0.70432627906584921</v>
      </c>
      <c r="D61" s="81">
        <v>0.5335465356933442</v>
      </c>
      <c r="F61" s="82">
        <v>496</v>
      </c>
      <c r="G61" s="80">
        <v>3.9193200530701102E-4</v>
      </c>
      <c r="H61" s="81">
        <v>0.59801016331322854</v>
      </c>
      <c r="I61" s="81">
        <v>0.43063793785637122</v>
      </c>
      <c r="S61" s="113">
        <v>2.0911056413142788</v>
      </c>
      <c r="T61" s="113">
        <v>57.369000351623512</v>
      </c>
      <c r="U61" s="113">
        <v>64.753311780730556</v>
      </c>
    </row>
    <row r="62" spans="1:21">
      <c r="A62" s="82">
        <v>498</v>
      </c>
      <c r="B62" s="80">
        <v>3.3555523327072109E-2</v>
      </c>
      <c r="C62" s="81">
        <v>0.72252680094580357</v>
      </c>
      <c r="D62" s="81">
        <v>0.50695718983409044</v>
      </c>
      <c r="F62" s="82">
        <v>498</v>
      </c>
      <c r="G62" s="80">
        <v>3.8942644889755081E-4</v>
      </c>
      <c r="H62" s="81">
        <v>0.63346403668187135</v>
      </c>
      <c r="I62" s="81">
        <v>0.3941064239808677</v>
      </c>
      <c r="S62" s="113">
        <v>2.012977596782672</v>
      </c>
      <c r="T62" s="113">
        <v>59.394191927327519</v>
      </c>
      <c r="U62" s="113">
        <v>62.187788878485875</v>
      </c>
    </row>
    <row r="63" spans="1:21">
      <c r="A63" s="82">
        <v>500</v>
      </c>
      <c r="B63" s="80">
        <v>3.1837619699659182E-2</v>
      </c>
      <c r="C63" s="81">
        <v>0.73682729291839322</v>
      </c>
      <c r="D63" s="81">
        <v>0.47868756185054212</v>
      </c>
      <c r="F63" s="82">
        <v>500</v>
      </c>
      <c r="G63" s="80">
        <v>3.8692089248809055E-4</v>
      </c>
      <c r="H63" s="81">
        <v>0.66432410949151799</v>
      </c>
      <c r="I63" s="81">
        <v>0.35740572563809669</v>
      </c>
      <c r="S63" s="113">
        <v>1.9206420886076052</v>
      </c>
      <c r="T63" s="113">
        <v>61.114068529155574</v>
      </c>
      <c r="U63" s="113">
        <v>59.592068223462</v>
      </c>
    </row>
    <row r="64" spans="1:21">
      <c r="A64" s="82">
        <v>502</v>
      </c>
      <c r="B64" s="80">
        <v>2.9951314116632075E-2</v>
      </c>
      <c r="C64" s="81">
        <v>0.75024648264158666</v>
      </c>
      <c r="D64" s="81">
        <v>0.44761284295485393</v>
      </c>
      <c r="F64" s="82">
        <v>502</v>
      </c>
      <c r="G64" s="80">
        <v>3.3966558420305915E-4</v>
      </c>
      <c r="H64" s="81">
        <v>0.6928872820216665</v>
      </c>
      <c r="I64" s="81">
        <v>0.32211193725772785</v>
      </c>
      <c r="S64" s="113">
        <v>1.8366761096277149</v>
      </c>
      <c r="T64" s="113">
        <v>62.746322341783475</v>
      </c>
      <c r="U64" s="113">
        <v>57.1440524471016</v>
      </c>
    </row>
    <row r="65" spans="1:21">
      <c r="A65" s="82">
        <v>504</v>
      </c>
      <c r="B65" s="80">
        <v>2.8505718982618056E-2</v>
      </c>
      <c r="C65" s="81">
        <v>0.76221324504715127</v>
      </c>
      <c r="D65" s="81">
        <v>0.41756953660037344</v>
      </c>
      <c r="F65" s="82">
        <v>504</v>
      </c>
      <c r="G65" s="80">
        <v>2.9241027591802763E-4</v>
      </c>
      <c r="H65" s="81">
        <v>0.71879157858357079</v>
      </c>
      <c r="I65" s="81">
        <v>0.28657617817094988</v>
      </c>
      <c r="S65" s="113">
        <v>1.7608839858535226</v>
      </c>
      <c r="T65" s="113">
        <v>64.069734399168595</v>
      </c>
      <c r="U65" s="113">
        <v>54.474396100919499</v>
      </c>
    </row>
    <row r="66" spans="1:21">
      <c r="A66" s="82">
        <v>506</v>
      </c>
      <c r="B66" s="80">
        <v>2.6786450895959307E-2</v>
      </c>
      <c r="C66" s="81">
        <v>0.77180299091048665</v>
      </c>
      <c r="D66" s="81">
        <v>0.3865679645851241</v>
      </c>
      <c r="F66" s="82">
        <v>506</v>
      </c>
      <c r="G66" s="80">
        <v>2.5322160850365516E-4</v>
      </c>
      <c r="H66" s="81">
        <v>0.74296168252757311</v>
      </c>
      <c r="I66" s="81">
        <v>0.25402632853361778</v>
      </c>
      <c r="S66" s="113">
        <v>1.7310477886023456</v>
      </c>
      <c r="T66" s="113">
        <v>65.211483423202353</v>
      </c>
      <c r="U66" s="113">
        <v>51.81963753527571</v>
      </c>
    </row>
    <row r="67" spans="1:21">
      <c r="A67" s="82">
        <v>508</v>
      </c>
      <c r="B67" s="80">
        <v>2.5914284591078682E-2</v>
      </c>
      <c r="C67" s="81">
        <v>0.78099330616068763</v>
      </c>
      <c r="D67" s="81">
        <v>0.35624428163039984</v>
      </c>
      <c r="F67" s="82">
        <v>508</v>
      </c>
      <c r="G67" s="80">
        <v>2.2209958195994179E-4</v>
      </c>
      <c r="H67" s="81">
        <v>0.76545024486294566</v>
      </c>
      <c r="I67" s="81">
        <v>0.22445612783022142</v>
      </c>
      <c r="S67" s="113">
        <v>1.7055847823622416</v>
      </c>
      <c r="T67" s="113">
        <v>66.026237457142642</v>
      </c>
      <c r="U67" s="113">
        <v>49.063274865802406</v>
      </c>
    </row>
    <row r="68" spans="1:21">
      <c r="A68" s="82">
        <v>510</v>
      </c>
      <c r="B68" s="80">
        <v>2.4976436382067889E-2</v>
      </c>
      <c r="C68" s="81">
        <v>0.78810832833493016</v>
      </c>
      <c r="D68" s="81">
        <v>0.32667996968290203</v>
      </c>
      <c r="F68" s="82">
        <v>510</v>
      </c>
      <c r="G68" s="80">
        <v>1.9097755541622839E-4</v>
      </c>
      <c r="H68" s="81">
        <v>0.78550040733140136</v>
      </c>
      <c r="I68" s="81">
        <v>0.19454505309760911</v>
      </c>
      <c r="S68" s="113">
        <v>1.7013745409613437</v>
      </c>
      <c r="T68" s="113">
        <v>66.549510886818325</v>
      </c>
      <c r="U68" s="113">
        <v>46.221257991461989</v>
      </c>
    </row>
    <row r="69" spans="1:21">
      <c r="A69" s="82">
        <v>512</v>
      </c>
      <c r="B69" s="80">
        <v>2.3628291322885554E-2</v>
      </c>
      <c r="C69" s="81">
        <v>0.79476175790126702</v>
      </c>
      <c r="D69" s="81">
        <v>0.2974851097946738</v>
      </c>
      <c r="F69" s="82">
        <v>512</v>
      </c>
      <c r="G69" s="80">
        <v>2.2314019521536181E-4</v>
      </c>
      <c r="H69" s="81">
        <v>0.80257249708790024</v>
      </c>
      <c r="I69" s="81">
        <v>0.17271712384303514</v>
      </c>
      <c r="S69" s="113">
        <v>1.7468567568186144</v>
      </c>
      <c r="T69" s="113">
        <v>66.621502783251856</v>
      </c>
      <c r="U69" s="113">
        <v>43.164088961286154</v>
      </c>
    </row>
    <row r="70" spans="1:21">
      <c r="A70" s="82">
        <v>514</v>
      </c>
      <c r="B70" s="80">
        <v>2.3279968607154464E-2</v>
      </c>
      <c r="C70" s="81">
        <v>0.80041965624960698</v>
      </c>
      <c r="D70" s="81">
        <v>0.27080991176417774</v>
      </c>
      <c r="F70" s="82">
        <v>514</v>
      </c>
      <c r="G70" s="80">
        <v>2.5530283501449521E-4</v>
      </c>
      <c r="H70" s="81">
        <v>0.81672245582979408</v>
      </c>
      <c r="I70" s="81">
        <v>0.15056450101536564</v>
      </c>
      <c r="S70" s="113">
        <v>1.8314004235687102</v>
      </c>
      <c r="T70" s="113">
        <v>66.690698638123038</v>
      </c>
      <c r="U70" s="113">
        <v>40.203758819706266</v>
      </c>
    </row>
    <row r="71" spans="1:21">
      <c r="A71" s="82">
        <v>516</v>
      </c>
      <c r="B71" s="80">
        <v>2.2610602473222781E-2</v>
      </c>
      <c r="C71" s="81">
        <v>0.8047486602789935</v>
      </c>
      <c r="D71" s="81">
        <v>0.24591757748605855</v>
      </c>
      <c r="F71" s="82">
        <v>516</v>
      </c>
      <c r="G71" s="80">
        <v>2.7726308698656902E-4</v>
      </c>
      <c r="H71" s="81">
        <v>0.8273875758954865</v>
      </c>
      <c r="I71" s="81">
        <v>0.13119070056697349</v>
      </c>
      <c r="S71" s="113">
        <v>1.9782963738111579</v>
      </c>
      <c r="T71" s="113">
        <v>66.59913073186587</v>
      </c>
      <c r="U71" s="113">
        <v>37.275200753372452</v>
      </c>
    </row>
    <row r="72" spans="1:21">
      <c r="A72" s="82">
        <v>518</v>
      </c>
      <c r="B72" s="80">
        <v>2.1979955342237623E-2</v>
      </c>
      <c r="C72" s="81">
        <v>0.80862203379413555</v>
      </c>
      <c r="D72" s="81">
        <v>0.22171707348249786</v>
      </c>
      <c r="F72" s="82">
        <v>518</v>
      </c>
      <c r="G72" s="80">
        <v>2.8902095113158324E-4</v>
      </c>
      <c r="H72" s="81">
        <v>0.83485085645981583</v>
      </c>
      <c r="I72" s="81">
        <v>0.11465504414767233</v>
      </c>
      <c r="S72" s="113">
        <v>2.1632494747906699</v>
      </c>
      <c r="T72" s="113">
        <v>66.151222432928321</v>
      </c>
      <c r="U72" s="113">
        <v>34.261448733759764</v>
      </c>
    </row>
    <row r="73" spans="1:21">
      <c r="A73" s="82">
        <v>520</v>
      </c>
      <c r="B73" s="80">
        <v>2.0893094341243427E-2</v>
      </c>
      <c r="C73" s="81">
        <v>0.8125655385370355</v>
      </c>
      <c r="D73" s="81">
        <v>0.1994162922445481</v>
      </c>
      <c r="F73" s="82">
        <v>520</v>
      </c>
      <c r="G73" s="80">
        <v>3.007788152765974E-4</v>
      </c>
      <c r="H73" s="81">
        <v>0.84025087559829192</v>
      </c>
      <c r="I73" s="81">
        <v>9.7853219772334091E-2</v>
      </c>
      <c r="S73" s="113">
        <v>2.3918595160415315</v>
      </c>
      <c r="T73" s="113">
        <v>65.893064049926508</v>
      </c>
      <c r="U73" s="113">
        <v>31.498528723366125</v>
      </c>
    </row>
    <row r="74" spans="1:21">
      <c r="A74" s="82">
        <v>522</v>
      </c>
      <c r="B74" s="80">
        <v>2.0742193058564725E-2</v>
      </c>
      <c r="C74" s="81">
        <v>0.81407995976387648</v>
      </c>
      <c r="D74" s="81">
        <v>0.17893281252385329</v>
      </c>
      <c r="F74" s="82">
        <v>522</v>
      </c>
      <c r="G74" s="80">
        <v>2.991871172136964E-4</v>
      </c>
      <c r="H74" s="81">
        <v>0.84454851423013233</v>
      </c>
      <c r="I74" s="81">
        <v>8.49352721101478E-2</v>
      </c>
      <c r="S74" s="113">
        <v>2.618000089619088</v>
      </c>
      <c r="T74" s="113">
        <v>65.692614386597782</v>
      </c>
      <c r="U74" s="113">
        <v>28.986190063946442</v>
      </c>
    </row>
    <row r="75" spans="1:21">
      <c r="A75" s="82">
        <v>524</v>
      </c>
      <c r="B75" s="80">
        <v>2.0461005692682173E-2</v>
      </c>
      <c r="C75" s="81">
        <v>0.81806026535687004</v>
      </c>
      <c r="D75" s="81">
        <v>0.15962978779850709</v>
      </c>
      <c r="F75" s="82">
        <v>524</v>
      </c>
      <c r="G75" s="80">
        <v>2.9759541915079534E-4</v>
      </c>
      <c r="H75" s="81">
        <v>0.84787869056659648</v>
      </c>
      <c r="I75" s="81">
        <v>7.1889129167683891E-2</v>
      </c>
      <c r="S75" s="113">
        <v>2.9270414951698034</v>
      </c>
      <c r="T75" s="113">
        <v>65.114860898113264</v>
      </c>
      <c r="U75" s="113">
        <v>26.584447823610269</v>
      </c>
    </row>
    <row r="76" spans="1:21">
      <c r="A76" s="82">
        <v>526</v>
      </c>
      <c r="B76" s="80">
        <v>1.9831367075052612E-2</v>
      </c>
      <c r="C76" s="81">
        <v>0.81867078177028663</v>
      </c>
      <c r="D76" s="81">
        <v>0.14100217039984034</v>
      </c>
      <c r="F76" s="82">
        <v>526</v>
      </c>
      <c r="G76" s="80">
        <v>2.9066417326356077E-4</v>
      </c>
      <c r="H76" s="81">
        <v>0.85076791470040658</v>
      </c>
      <c r="I76" s="81">
        <v>6.0126592725568383E-2</v>
      </c>
      <c r="S76" s="113">
        <v>3.0614856656861278</v>
      </c>
      <c r="T76" s="113">
        <v>64.633460057032522</v>
      </c>
      <c r="U76" s="113">
        <v>24.445363178506025</v>
      </c>
    </row>
    <row r="77" spans="1:21">
      <c r="A77" s="82">
        <v>528</v>
      </c>
      <c r="B77" s="80">
        <v>1.8919848974531753E-2</v>
      </c>
      <c r="C77" s="81">
        <v>0.81980819697507679</v>
      </c>
      <c r="D77" s="81">
        <v>0.12279501408398788</v>
      </c>
      <c r="F77" s="82">
        <v>528</v>
      </c>
      <c r="G77" s="80">
        <v>2.7839337955199258E-4</v>
      </c>
      <c r="H77" s="81">
        <v>0.85345311617328679</v>
      </c>
      <c r="I77" s="81">
        <v>4.9661915812664305E-2</v>
      </c>
      <c r="S77" s="113">
        <v>3.0538553352788567</v>
      </c>
      <c r="T77" s="113">
        <v>64.540304884388959</v>
      </c>
      <c r="U77" s="113">
        <v>22.739188894715596</v>
      </c>
    </row>
    <row r="78" spans="1:21">
      <c r="A78" s="82">
        <v>530</v>
      </c>
      <c r="B78" s="80">
        <v>1.816433404778265E-2</v>
      </c>
      <c r="C78" s="81">
        <v>0.82111803830151797</v>
      </c>
      <c r="D78" s="81">
        <v>0.10586912454950104</v>
      </c>
      <c r="F78" s="82">
        <v>530</v>
      </c>
      <c r="G78" s="80">
        <v>2.6612258584042439E-4</v>
      </c>
      <c r="H78" s="81">
        <v>0.85590467879252197</v>
      </c>
      <c r="I78" s="81">
        <v>3.9032709741192911E-2</v>
      </c>
      <c r="S78" s="113">
        <v>2.9929695469779425</v>
      </c>
      <c r="T78" s="113">
        <v>64.200110565783191</v>
      </c>
      <c r="U78" s="113">
        <v>21.232934075798369</v>
      </c>
    </row>
    <row r="79" spans="1:21">
      <c r="A79" s="82">
        <v>532</v>
      </c>
      <c r="B79" s="80">
        <v>1.7018494790257303E-2</v>
      </c>
      <c r="C79" s="81">
        <v>0.82050599923068224</v>
      </c>
      <c r="D79" s="81">
        <v>9.0377677177801541E-2</v>
      </c>
      <c r="F79" s="82">
        <v>532</v>
      </c>
      <c r="G79" s="80">
        <v>2.5689902517718596E-4</v>
      </c>
      <c r="H79" s="81">
        <v>0.85864911265083343</v>
      </c>
      <c r="I79" s="81">
        <v>3.1526698259204081E-2</v>
      </c>
      <c r="S79" s="113">
        <v>2.8368445859334148</v>
      </c>
      <c r="T79" s="113">
        <v>63.994673896792754</v>
      </c>
      <c r="U79" s="113">
        <v>20.037996758438897</v>
      </c>
    </row>
    <row r="80" spans="1:21">
      <c r="A80" s="82">
        <v>534</v>
      </c>
      <c r="B80" s="80">
        <v>1.6533271330195894E-2</v>
      </c>
      <c r="C80" s="81">
        <v>0.82046221788618601</v>
      </c>
      <c r="D80" s="81">
        <v>7.6077936646535685E-2</v>
      </c>
      <c r="F80" s="82">
        <v>534</v>
      </c>
      <c r="G80" s="80">
        <v>2.4767546451394753E-4</v>
      </c>
      <c r="H80" s="81">
        <v>0.86086045504026421</v>
      </c>
      <c r="I80" s="81">
        <v>2.3839635014413732E-2</v>
      </c>
      <c r="S80" s="113">
        <v>2.6113853452460858</v>
      </c>
      <c r="T80" s="113">
        <v>63.676499098565344</v>
      </c>
      <c r="U80" s="113">
        <v>18.943658296513689</v>
      </c>
    </row>
    <row r="81" spans="1:21">
      <c r="A81" s="82">
        <v>536</v>
      </c>
      <c r="B81" s="80">
        <v>1.5464484470515854E-2</v>
      </c>
      <c r="C81" s="81">
        <v>0.81988281707600563</v>
      </c>
      <c r="D81" s="81">
        <v>6.3001977635366024E-2</v>
      </c>
      <c r="F81" s="82">
        <v>536</v>
      </c>
      <c r="G81" s="80">
        <v>2.4093891999580439E-4</v>
      </c>
      <c r="H81" s="81">
        <v>0.86203852137272885</v>
      </c>
      <c r="I81" s="81">
        <v>1.7726507834705515E-2</v>
      </c>
      <c r="S81" s="113">
        <v>2.165077374627117</v>
      </c>
      <c r="T81" s="113">
        <v>63.394504081887426</v>
      </c>
      <c r="U81" s="113">
        <v>17.852840608339349</v>
      </c>
    </row>
    <row r="82" spans="1:21">
      <c r="A82" s="82">
        <v>538</v>
      </c>
      <c r="B82" s="80">
        <v>1.4622178070869775E-2</v>
      </c>
      <c r="C82" s="81">
        <v>0.81877733812747622</v>
      </c>
      <c r="D82" s="81">
        <v>5.0375370648432956E-2</v>
      </c>
      <c r="F82" s="82">
        <v>538</v>
      </c>
      <c r="G82" s="80">
        <v>2.3668939162275655E-4</v>
      </c>
      <c r="H82" s="81">
        <v>0.86188714972107161</v>
      </c>
      <c r="I82" s="81">
        <v>1.3240154606771351E-2</v>
      </c>
      <c r="S82" s="113">
        <v>1.7855114401722831</v>
      </c>
      <c r="T82" s="113">
        <v>63.176578974907848</v>
      </c>
      <c r="U82" s="113">
        <v>16.827598468929679</v>
      </c>
    </row>
    <row r="83" spans="1:21">
      <c r="A83" s="82">
        <v>540</v>
      </c>
      <c r="B83" s="80">
        <v>1.3908249488960574E-2</v>
      </c>
      <c r="C83" s="81">
        <v>0.81576515591893317</v>
      </c>
      <c r="D83" s="81">
        <v>3.9088919712924101E-2</v>
      </c>
      <c r="F83" s="82">
        <v>540</v>
      </c>
      <c r="G83" s="80">
        <v>2.3243986324970875E-4</v>
      </c>
      <c r="H83" s="81">
        <v>0.86033723563562203</v>
      </c>
      <c r="I83" s="81">
        <v>8.6258121439189584E-3</v>
      </c>
      <c r="S83" s="113">
        <v>1.5411650214100288</v>
      </c>
      <c r="T83" s="113">
        <v>62.579307859121599</v>
      </c>
      <c r="U83" s="113">
        <v>15.774349670249652</v>
      </c>
    </row>
    <row r="84" spans="1:21">
      <c r="A84" s="82">
        <v>542</v>
      </c>
      <c r="B84" s="80">
        <v>1.377757779770899E-2</v>
      </c>
      <c r="C84" s="81">
        <v>0.81380418079804806</v>
      </c>
      <c r="D84" s="81">
        <v>3.0704446183393921E-2</v>
      </c>
      <c r="F84" s="82">
        <v>542</v>
      </c>
      <c r="G84" s="80">
        <v>2.6094887793982549E-4</v>
      </c>
      <c r="H84" s="81">
        <v>0.8571518495746564</v>
      </c>
      <c r="I84" s="81">
        <v>6.7345481033130846E-3</v>
      </c>
      <c r="S84" s="113">
        <v>1.2772406293689416</v>
      </c>
      <c r="T84" s="113">
        <v>61.995209231891678</v>
      </c>
      <c r="U84" s="113">
        <v>14.8161152787858</v>
      </c>
    </row>
    <row r="85" spans="1:21">
      <c r="A85" s="82">
        <v>544</v>
      </c>
      <c r="B85" s="80">
        <v>1.3204673000025074E-2</v>
      </c>
      <c r="C85" s="81">
        <v>0.81057985483893802</v>
      </c>
      <c r="D85" s="81">
        <v>2.2982298969077875E-2</v>
      </c>
      <c r="F85" s="82">
        <v>544</v>
      </c>
      <c r="G85" s="80">
        <v>2.8945789262994226E-4</v>
      </c>
      <c r="H85" s="81">
        <v>0.85224543364810679</v>
      </c>
      <c r="I85" s="81">
        <v>4.7805643015828509E-3</v>
      </c>
      <c r="S85" s="113">
        <v>1.094261687098413</v>
      </c>
      <c r="T85" s="113">
        <v>61.285428243149553</v>
      </c>
      <c r="U85" s="113">
        <v>13.774092538622105</v>
      </c>
    </row>
    <row r="86" spans="1:21">
      <c r="A86" s="82">
        <v>546</v>
      </c>
      <c r="B86" s="80">
        <v>1.248762000419067E-2</v>
      </c>
      <c r="C86" s="81">
        <v>0.80769182853437849</v>
      </c>
      <c r="D86" s="81">
        <v>1.6448585870482681E-2</v>
      </c>
      <c r="F86" s="82">
        <v>546</v>
      </c>
      <c r="G86" s="80">
        <v>3.0620591664992782E-4</v>
      </c>
      <c r="H86" s="81">
        <v>0.84520007046987544</v>
      </c>
      <c r="I86" s="81">
        <v>3.3806229613224316E-3</v>
      </c>
      <c r="S86" s="113">
        <v>0.94677969880107049</v>
      </c>
      <c r="T86" s="113">
        <v>60.332295803398395</v>
      </c>
      <c r="U86" s="113">
        <v>12.627239214844179</v>
      </c>
    </row>
    <row r="87" spans="1:21">
      <c r="A87" s="82">
        <v>548</v>
      </c>
      <c r="B87" s="80">
        <v>1.2024445414550798E-2</v>
      </c>
      <c r="C87" s="81">
        <v>0.80416202190237884</v>
      </c>
      <c r="D87" s="81">
        <v>1.2583458435130561E-2</v>
      </c>
      <c r="F87" s="82">
        <v>548</v>
      </c>
      <c r="G87" s="80">
        <v>3.1119294999978209E-4</v>
      </c>
      <c r="H87" s="81">
        <v>0.83616713169161982</v>
      </c>
      <c r="I87" s="81">
        <v>2.5649754605637097E-3</v>
      </c>
      <c r="S87" s="113">
        <v>0.80424974683213102</v>
      </c>
      <c r="T87" s="113">
        <v>59.123786549789351</v>
      </c>
      <c r="U87" s="113">
        <v>11.463824339017622</v>
      </c>
    </row>
    <row r="88" spans="1:21">
      <c r="A88" s="82">
        <v>550</v>
      </c>
      <c r="B88" s="80">
        <v>1.1946513039365796E-2</v>
      </c>
      <c r="C88" s="81">
        <v>0.79984606922230017</v>
      </c>
      <c r="D88" s="81">
        <v>8.8570114735598247E-3</v>
      </c>
      <c r="F88" s="82">
        <v>550</v>
      </c>
      <c r="G88" s="80">
        <v>3.1617998334963635E-4</v>
      </c>
      <c r="H88" s="81">
        <v>0.82589360350738905</v>
      </c>
      <c r="I88" s="81">
        <v>1.7041988025130717E-3</v>
      </c>
      <c r="S88" s="113">
        <v>0.66140615904688016</v>
      </c>
      <c r="T88" s="113">
        <v>57.84766457025998</v>
      </c>
      <c r="U88" s="113">
        <v>10.346487449372852</v>
      </c>
    </row>
    <row r="89" spans="1:21">
      <c r="A89" s="82">
        <v>552</v>
      </c>
      <c r="B89" s="80">
        <v>1.1985439677414939E-2</v>
      </c>
      <c r="C89" s="81">
        <v>0.79429600270392309</v>
      </c>
      <c r="D89" s="81">
        <v>7.0230595985515685E-3</v>
      </c>
      <c r="F89" s="82">
        <v>552</v>
      </c>
      <c r="G89" s="80">
        <v>3.0565761229051688E-4</v>
      </c>
      <c r="H89" s="81">
        <v>0.81515608830394726</v>
      </c>
      <c r="I89" s="81">
        <v>1.4262737894823649E-3</v>
      </c>
      <c r="S89" s="113">
        <v>0.58055448331453863</v>
      </c>
      <c r="T89" s="113">
        <v>56.464199520429389</v>
      </c>
      <c r="U89" s="113">
        <v>9.2765960312564033</v>
      </c>
    </row>
    <row r="90" spans="1:21">
      <c r="A90" s="82">
        <v>554</v>
      </c>
      <c r="B90" s="80">
        <v>1.1970064792434898E-2</v>
      </c>
      <c r="C90" s="81">
        <v>0.78780550736883137</v>
      </c>
      <c r="D90" s="81">
        <v>5.3750103520929732E-3</v>
      </c>
      <c r="F90" s="82">
        <v>554</v>
      </c>
      <c r="G90" s="80">
        <v>2.9513524123139741E-4</v>
      </c>
      <c r="H90" s="81">
        <v>0.80370120309917226</v>
      </c>
      <c r="I90" s="81">
        <v>1.135844146125125E-3</v>
      </c>
      <c r="S90" s="113">
        <v>0.60251628213320962</v>
      </c>
      <c r="T90" s="113">
        <v>55.079361280693753</v>
      </c>
      <c r="U90" s="113">
        <v>8.2958702934165629</v>
      </c>
    </row>
    <row r="91" spans="1:21">
      <c r="A91" s="82">
        <v>556</v>
      </c>
      <c r="B91" s="80">
        <v>1.2146307445019608E-2</v>
      </c>
      <c r="C91" s="81">
        <v>0.78252272655184696</v>
      </c>
      <c r="D91" s="81">
        <v>4.4720151781655511E-3</v>
      </c>
      <c r="F91" s="82">
        <v>556</v>
      </c>
      <c r="G91" s="80">
        <v>2.9747338804573013E-4</v>
      </c>
      <c r="H91" s="81">
        <v>0.79170993573743698</v>
      </c>
      <c r="I91" s="81">
        <v>9.3536062579801507E-4</v>
      </c>
      <c r="S91" s="113">
        <v>0.64769677106017254</v>
      </c>
      <c r="T91" s="113">
        <v>53.732773301444261</v>
      </c>
      <c r="U91" s="113">
        <v>7.3883362191662583</v>
      </c>
    </row>
    <row r="92" spans="1:21">
      <c r="A92" s="82">
        <v>558</v>
      </c>
      <c r="B92" s="80">
        <v>1.1980733281755454E-2</v>
      </c>
      <c r="C92" s="81">
        <v>0.77591087344296406</v>
      </c>
      <c r="D92" s="81">
        <v>2.9281097667518221E-3</v>
      </c>
      <c r="F92" s="82">
        <v>558</v>
      </c>
      <c r="G92" s="80">
        <v>3.1267205273351515E-4</v>
      </c>
      <c r="H92" s="81">
        <v>0.77915925140218534</v>
      </c>
      <c r="I92" s="81">
        <v>8.308912876082785E-4</v>
      </c>
      <c r="S92" s="113">
        <v>0.62054667523109031</v>
      </c>
      <c r="T92" s="113">
        <v>52.096095509118122</v>
      </c>
      <c r="U92" s="113">
        <v>6.5189029377025935</v>
      </c>
    </row>
    <row r="93" spans="1:21">
      <c r="A93" s="82">
        <v>560</v>
      </c>
      <c r="B93" s="80">
        <v>1.2927440588478221E-2</v>
      </c>
      <c r="C93" s="81">
        <v>0.7671340288937889</v>
      </c>
      <c r="D93" s="81">
        <v>3.194920873624101E-3</v>
      </c>
      <c r="F93" s="82">
        <v>560</v>
      </c>
      <c r="G93" s="80">
        <v>3.2787071742130001E-4</v>
      </c>
      <c r="H93" s="81">
        <v>0.76584183674440753</v>
      </c>
      <c r="I93" s="81">
        <v>7.3542648255506E-4</v>
      </c>
      <c r="S93" s="113">
        <v>0.62364488151122377</v>
      </c>
      <c r="T93" s="113">
        <v>50.109360995887656</v>
      </c>
      <c r="U93" s="113">
        <v>5.6985705942990101</v>
      </c>
    </row>
    <row r="94" spans="1:21">
      <c r="A94" s="82">
        <v>562</v>
      </c>
      <c r="B94" s="80">
        <v>1.3439320440762259E-2</v>
      </c>
      <c r="C94" s="81">
        <v>0.75558994234546673</v>
      </c>
      <c r="D94" s="81">
        <v>2.4260184264486462E-3</v>
      </c>
      <c r="F94" s="82">
        <v>562</v>
      </c>
      <c r="G94" s="80">
        <v>3.845168806056818E-4</v>
      </c>
      <c r="H94" s="81">
        <v>0.75176756382834231</v>
      </c>
      <c r="I94" s="81">
        <v>7.7522948756535083E-4</v>
      </c>
      <c r="S94" s="113">
        <v>0.8099496532442253</v>
      </c>
      <c r="T94" s="113">
        <v>48.448687026561011</v>
      </c>
      <c r="U94" s="113">
        <v>5.0731347221680432</v>
      </c>
    </row>
    <row r="95" spans="1:21">
      <c r="A95" s="82">
        <v>564</v>
      </c>
      <c r="B95" s="80">
        <v>1.5578406930155744E-2</v>
      </c>
      <c r="C95" s="81">
        <v>0.74700830445491584</v>
      </c>
      <c r="D95" s="81">
        <v>2.2243157553278573E-3</v>
      </c>
      <c r="F95" s="82">
        <v>564</v>
      </c>
      <c r="G95" s="80">
        <v>4.4116304379006349E-4</v>
      </c>
      <c r="H95" s="81">
        <v>0.73656458490100529</v>
      </c>
      <c r="I95" s="81">
        <v>8.274621978852421E-4</v>
      </c>
      <c r="S95" s="113">
        <v>1.0505571556332316</v>
      </c>
      <c r="T95" s="113">
        <v>46.78987932009467</v>
      </c>
      <c r="U95" s="113">
        <v>4.645720710641088</v>
      </c>
    </row>
    <row r="96" spans="1:21">
      <c r="A96" s="82">
        <v>566</v>
      </c>
      <c r="B96" s="80">
        <v>1.7962868673922001E-2</v>
      </c>
      <c r="C96" s="81">
        <v>0.73777408921158849</v>
      </c>
      <c r="D96" s="81">
        <v>2.0760445172823988E-3</v>
      </c>
      <c r="F96" s="82">
        <v>566</v>
      </c>
      <c r="G96" s="80">
        <v>4.9938437418899789E-4</v>
      </c>
      <c r="H96" s="81">
        <v>0.71983143601669586</v>
      </c>
      <c r="I96" s="81">
        <v>9.1340325503782216E-4</v>
      </c>
      <c r="S96" s="113">
        <v>1.3861202475999983</v>
      </c>
      <c r="T96" s="113">
        <v>45.183640197416032</v>
      </c>
      <c r="U96" s="113">
        <v>4.3478707771967153</v>
      </c>
    </row>
    <row r="97" spans="1:21">
      <c r="A97" s="82">
        <v>568</v>
      </c>
      <c r="B97" s="80">
        <v>2.161847251595448E-2</v>
      </c>
      <c r="C97" s="81">
        <v>0.7284311819357302</v>
      </c>
      <c r="D97" s="81">
        <v>1.9155920198829792E-3</v>
      </c>
      <c r="F97" s="82">
        <v>568</v>
      </c>
      <c r="G97" s="80">
        <v>5.5918087180248507E-4</v>
      </c>
      <c r="H97" s="81">
        <v>0.70147268722110856</v>
      </c>
      <c r="I97" s="81">
        <v>1.0241434596694166E-3</v>
      </c>
      <c r="S97" s="113">
        <v>1.9766350504782033</v>
      </c>
      <c r="T97" s="113">
        <v>43.696581028061111</v>
      </c>
      <c r="U97" s="113">
        <v>4.1654518896147321</v>
      </c>
    </row>
    <row r="98" spans="1:21">
      <c r="A98" s="82">
        <v>570</v>
      </c>
      <c r="B98" s="80">
        <v>2.6795754926034046E-2</v>
      </c>
      <c r="C98" s="81">
        <v>0.71688235932959088</v>
      </c>
      <c r="D98" s="81">
        <v>2.3199663259368037E-3</v>
      </c>
      <c r="F98" s="82">
        <v>570</v>
      </c>
      <c r="G98" s="80">
        <v>6.1897736941597225E-4</v>
      </c>
      <c r="H98" s="81">
        <v>0.68170881461557031</v>
      </c>
      <c r="I98" s="81">
        <v>1.127946016661485E-3</v>
      </c>
      <c r="S98" s="113">
        <v>2.8913348689755431</v>
      </c>
      <c r="T98" s="113">
        <v>42.140375979514467</v>
      </c>
      <c r="U98" s="113">
        <v>3.9886008628113605</v>
      </c>
    </row>
    <row r="99" spans="1:21">
      <c r="A99" s="82">
        <v>572</v>
      </c>
      <c r="B99" s="80">
        <v>3.3920812796903364E-2</v>
      </c>
      <c r="C99" s="81">
        <v>0.70614498459189334</v>
      </c>
      <c r="D99" s="81">
        <v>1.939568930543171E-3</v>
      </c>
      <c r="F99" s="82">
        <v>572</v>
      </c>
      <c r="G99" s="80">
        <v>1.8946718792431214E-3</v>
      </c>
      <c r="H99" s="81">
        <v>0.66066157365902312</v>
      </c>
      <c r="I99" s="81">
        <v>1.269951854129142E-3</v>
      </c>
      <c r="S99" s="113">
        <v>4.4331744966620361</v>
      </c>
      <c r="T99" s="113">
        <v>40.664154896746432</v>
      </c>
      <c r="U99" s="113">
        <v>3.8554413827441376</v>
      </c>
    </row>
    <row r="100" spans="1:21">
      <c r="A100" s="82">
        <v>574</v>
      </c>
      <c r="B100" s="80">
        <v>4.5197890490636605E-2</v>
      </c>
      <c r="C100" s="81">
        <v>0.69145247754554895</v>
      </c>
      <c r="D100" s="81">
        <v>1.477808237078314E-3</v>
      </c>
      <c r="F100" s="82">
        <v>574</v>
      </c>
      <c r="G100" s="80">
        <v>3.1703663890702703E-3</v>
      </c>
      <c r="H100" s="81">
        <v>0.63826844127795623</v>
      </c>
      <c r="I100" s="81">
        <v>1.4105320755335334E-3</v>
      </c>
      <c r="S100" s="113">
        <v>7.038694766675051</v>
      </c>
      <c r="T100" s="113">
        <v>38.94220640597463</v>
      </c>
      <c r="U100" s="113">
        <v>3.8439166990187466</v>
      </c>
    </row>
    <row r="101" spans="1:21">
      <c r="A101" s="82">
        <v>576</v>
      </c>
      <c r="B101" s="80">
        <v>6.0146283082500897E-2</v>
      </c>
      <c r="C101" s="81">
        <v>0.67899141505972249</v>
      </c>
      <c r="D101" s="81">
        <v>1.5364008855617351E-3</v>
      </c>
      <c r="F101" s="82">
        <v>576</v>
      </c>
      <c r="G101" s="80">
        <v>8.2080200765985312E-3</v>
      </c>
      <c r="H101" s="81">
        <v>0.61448992921541556</v>
      </c>
      <c r="I101" s="81">
        <v>1.5314519835538485E-3</v>
      </c>
      <c r="S101" s="113">
        <v>11.082532076310599</v>
      </c>
      <c r="T101" s="113">
        <v>37.2119867810299</v>
      </c>
      <c r="U101" s="113">
        <v>3.8042079879085802</v>
      </c>
    </row>
    <row r="102" spans="1:21">
      <c r="A102" s="82">
        <v>578</v>
      </c>
      <c r="B102" s="80">
        <v>7.9990701506861328E-2</v>
      </c>
      <c r="C102" s="81">
        <v>0.66384745986334359</v>
      </c>
      <c r="D102" s="81">
        <v>2.4690582170069203E-3</v>
      </c>
      <c r="F102" s="82">
        <v>578</v>
      </c>
      <c r="G102" s="80">
        <v>1.7007632941827902E-2</v>
      </c>
      <c r="H102" s="81">
        <v>0.58937539779259385</v>
      </c>
      <c r="I102" s="81">
        <v>1.634984082523826E-3</v>
      </c>
      <c r="S102" s="113">
        <v>16.798931526575426</v>
      </c>
      <c r="T102" s="113">
        <v>35.475068666854959</v>
      </c>
      <c r="U102" s="113">
        <v>3.7692903191269478</v>
      </c>
    </row>
    <row r="103" spans="1:21">
      <c r="A103" s="82">
        <v>580</v>
      </c>
      <c r="B103" s="80">
        <v>0.10574793486126929</v>
      </c>
      <c r="C103" s="81">
        <v>0.64801519430176502</v>
      </c>
      <c r="D103" s="81">
        <v>1.615035265141325E-3</v>
      </c>
      <c r="F103" s="82">
        <v>580</v>
      </c>
      <c r="G103" s="80">
        <v>2.5807245807057278E-2</v>
      </c>
      <c r="H103" s="81">
        <v>0.56303343971611486</v>
      </c>
      <c r="I103" s="81">
        <v>1.7416554375074911E-3</v>
      </c>
      <c r="S103" s="113">
        <v>23.955166986111681</v>
      </c>
      <c r="T103" s="113">
        <v>33.745941847186266</v>
      </c>
      <c r="U103" s="113">
        <v>3.837332076831601</v>
      </c>
    </row>
    <row r="104" spans="1:21">
      <c r="A104" s="82">
        <v>582</v>
      </c>
      <c r="B104" s="80">
        <v>0.13808754702737328</v>
      </c>
      <c r="C104" s="81">
        <v>0.63100450065893487</v>
      </c>
      <c r="D104" s="81">
        <v>1.5475637441742533E-3</v>
      </c>
      <c r="F104" s="82">
        <v>582</v>
      </c>
      <c r="G104" s="80">
        <v>5.3123430736614609E-2</v>
      </c>
      <c r="H104" s="81">
        <v>0.53553645012372753</v>
      </c>
      <c r="I104" s="81">
        <v>1.676668567448542E-3</v>
      </c>
      <c r="S104" s="113">
        <v>31.662950404163638</v>
      </c>
      <c r="T104" s="113">
        <v>31.926301429803704</v>
      </c>
      <c r="U104" s="113">
        <v>3.8282607376920499</v>
      </c>
    </row>
    <row r="105" spans="1:21">
      <c r="A105" s="82">
        <v>584</v>
      </c>
      <c r="B105" s="80">
        <v>0.1778898218538279</v>
      </c>
      <c r="C105" s="81">
        <v>0.61280260443234891</v>
      </c>
      <c r="D105" s="81">
        <v>1.5061454848936168E-3</v>
      </c>
      <c r="F105" s="82">
        <v>584</v>
      </c>
      <c r="G105" s="80">
        <v>8.0439615666171943E-2</v>
      </c>
      <c r="H105" s="81">
        <v>0.5069765682816586</v>
      </c>
      <c r="I105" s="81">
        <v>1.6046208301173628E-3</v>
      </c>
      <c r="S105" s="113">
        <v>38.726290635461631</v>
      </c>
      <c r="T105" s="113">
        <v>29.844027062457595</v>
      </c>
      <c r="U105" s="113">
        <v>3.7453581245046732</v>
      </c>
    </row>
    <row r="106" spans="1:21">
      <c r="A106" s="82">
        <v>586</v>
      </c>
      <c r="B106" s="80">
        <v>0.22460097674716234</v>
      </c>
      <c r="C106" s="81">
        <v>0.59058856523036696</v>
      </c>
      <c r="D106" s="81">
        <v>1.5652325026690008E-3</v>
      </c>
      <c r="F106" s="82">
        <v>586</v>
      </c>
      <c r="G106" s="80">
        <v>0.12311905863673965</v>
      </c>
      <c r="H106" s="81">
        <v>0.47742948001573654</v>
      </c>
      <c r="I106" s="81">
        <v>1.5086952795412844E-3</v>
      </c>
      <c r="S106" s="113">
        <v>44.480103335818093</v>
      </c>
      <c r="T106" s="113">
        <v>27.681945564990695</v>
      </c>
      <c r="U106" s="113">
        <v>3.7790568978197125</v>
      </c>
    </row>
    <row r="107" spans="1:21">
      <c r="A107" s="82">
        <v>588</v>
      </c>
      <c r="B107" s="80">
        <v>0.27886624273247479</v>
      </c>
      <c r="C107" s="81">
        <v>0.56830001468870039</v>
      </c>
      <c r="D107" s="81">
        <v>1.3492524463963285E-3</v>
      </c>
      <c r="F107" s="82">
        <v>588</v>
      </c>
      <c r="G107" s="80">
        <v>0.18116175964831777</v>
      </c>
      <c r="H107" s="81">
        <v>0.44698074321602865</v>
      </c>
      <c r="I107" s="81">
        <v>1.3914583390381337E-3</v>
      </c>
      <c r="S107" s="113">
        <v>48.868462700054664</v>
      </c>
      <c r="T107" s="113">
        <v>25.459598544812767</v>
      </c>
      <c r="U107" s="113">
        <v>3.789383122909566</v>
      </c>
    </row>
    <row r="108" spans="1:21">
      <c r="A108" s="82">
        <v>590</v>
      </c>
      <c r="B108" s="80">
        <v>0.33892087963563167</v>
      </c>
      <c r="C108" s="81">
        <v>0.54580600426929404</v>
      </c>
      <c r="D108" s="81">
        <v>1.1950290020756392E-3</v>
      </c>
      <c r="F108" s="82">
        <v>590</v>
      </c>
      <c r="G108" s="80">
        <v>0.23920446065989584</v>
      </c>
      <c r="H108" s="81">
        <v>0.41569288095604584</v>
      </c>
      <c r="I108" s="81">
        <v>1.2761250924192243E-3</v>
      </c>
      <c r="S108" s="113">
        <v>52.179718000063588</v>
      </c>
      <c r="T108" s="113">
        <v>23.194267938346552</v>
      </c>
      <c r="U108" s="113">
        <v>3.6733245091408913</v>
      </c>
    </row>
    <row r="109" spans="1:21">
      <c r="A109" s="82">
        <v>592</v>
      </c>
      <c r="B109" s="80">
        <v>0.40152495920266851</v>
      </c>
      <c r="C109" s="81">
        <v>0.51806811000879494</v>
      </c>
      <c r="D109" s="81">
        <v>8.7293752097608905E-4</v>
      </c>
      <c r="F109" s="82">
        <v>592</v>
      </c>
      <c r="G109" s="80">
        <v>0.31533377435468402</v>
      </c>
      <c r="H109" s="81">
        <v>0.38354943979539019</v>
      </c>
      <c r="I109" s="81">
        <v>1.1579491327781185E-3</v>
      </c>
      <c r="S109" s="113">
        <v>54.473677225265504</v>
      </c>
      <c r="T109" s="113">
        <v>20.935909111357066</v>
      </c>
      <c r="U109" s="113">
        <v>3.5839464353881376</v>
      </c>
    </row>
    <row r="110" spans="1:21">
      <c r="A110" s="82">
        <v>594</v>
      </c>
      <c r="B110" s="80">
        <v>0.46315906644410287</v>
      </c>
      <c r="C110" s="81">
        <v>0.49019900025082319</v>
      </c>
      <c r="D110" s="81">
        <v>6.185153085603958E-4</v>
      </c>
      <c r="F110" s="82">
        <v>594</v>
      </c>
      <c r="G110" s="80">
        <v>0.39146308804947216</v>
      </c>
      <c r="H110" s="81">
        <v>0.35082354684466127</v>
      </c>
      <c r="I110" s="81">
        <v>1.049648062505779E-3</v>
      </c>
      <c r="S110" s="113">
        <v>55.804244270957469</v>
      </c>
      <c r="T110" s="113">
        <v>18.724709930762405</v>
      </c>
      <c r="U110" s="113">
        <v>3.5047309981127617</v>
      </c>
    </row>
    <row r="111" spans="1:21">
      <c r="A111" s="82">
        <v>596</v>
      </c>
      <c r="B111" s="80">
        <v>0.52537946600364749</v>
      </c>
      <c r="C111" s="81">
        <v>0.46094117748957059</v>
      </c>
      <c r="D111" s="81">
        <v>9.5286714810062121E-4</v>
      </c>
      <c r="F111" s="82">
        <v>596</v>
      </c>
      <c r="G111" s="80">
        <v>0.46154637005517468</v>
      </c>
      <c r="H111" s="81">
        <v>0.31754152760849519</v>
      </c>
      <c r="I111" s="81">
        <v>9.8360077652839221E-4</v>
      </c>
      <c r="S111" s="113">
        <v>56.629034910382224</v>
      </c>
      <c r="T111" s="113">
        <v>16.586143561615323</v>
      </c>
      <c r="U111" s="113">
        <v>3.4364736605242854</v>
      </c>
    </row>
    <row r="112" spans="1:21">
      <c r="A112" s="82">
        <v>598</v>
      </c>
      <c r="B112" s="80">
        <v>0.58263650663313071</v>
      </c>
      <c r="C112" s="81">
        <v>0.4292909336389511</v>
      </c>
      <c r="D112" s="81">
        <v>5.1979964834128023E-4</v>
      </c>
      <c r="F112" s="82">
        <v>598</v>
      </c>
      <c r="G112" s="80">
        <v>0.5255836203717914</v>
      </c>
      <c r="H112" s="81">
        <v>0.28402586951868386</v>
      </c>
      <c r="I112" s="81">
        <v>9.5158776671638314E-4</v>
      </c>
      <c r="S112" s="113">
        <v>57.289934270099153</v>
      </c>
      <c r="T112" s="113">
        <v>14.580481096267226</v>
      </c>
      <c r="U112" s="113">
        <v>3.3891190414020063</v>
      </c>
    </row>
    <row r="113" spans="1:21">
      <c r="A113" s="82">
        <v>600</v>
      </c>
      <c r="B113" s="80">
        <v>0.6327149689721967</v>
      </c>
      <c r="C113" s="81">
        <v>0.39696117919652885</v>
      </c>
      <c r="D113" s="81">
        <v>1.1707950193836267E-3</v>
      </c>
      <c r="F113" s="82">
        <v>600</v>
      </c>
      <c r="G113" s="80">
        <v>0.58962087068840829</v>
      </c>
      <c r="H113" s="81">
        <v>0.25091167537457276</v>
      </c>
      <c r="I113" s="81">
        <v>8.9353812644003697E-4</v>
      </c>
      <c r="S113" s="113">
        <v>57.525640800582678</v>
      </c>
      <c r="T113" s="113">
        <v>12.70693221530107</v>
      </c>
      <c r="U113" s="113">
        <v>3.2885978105846001</v>
      </c>
    </row>
    <row r="114" spans="1:21">
      <c r="A114" s="82">
        <v>602</v>
      </c>
      <c r="B114" s="80">
        <v>0.67871637764783199</v>
      </c>
      <c r="C114" s="81">
        <v>0.3637711233122331</v>
      </c>
      <c r="D114" s="81">
        <v>4.0970360702118297E-4</v>
      </c>
      <c r="F114" s="82">
        <v>602</v>
      </c>
      <c r="G114" s="80">
        <v>0.64017175136164317</v>
      </c>
      <c r="H114" s="81">
        <v>0.21864318806689581</v>
      </c>
      <c r="I114" s="81">
        <v>7.7853215912846135E-4</v>
      </c>
      <c r="S114" s="113">
        <v>57.641013129015853</v>
      </c>
      <c r="T114" s="113">
        <v>10.986975536279649</v>
      </c>
      <c r="U114" s="113">
        <v>3.1888685543168762</v>
      </c>
    </row>
    <row r="115" spans="1:21">
      <c r="A115" s="82">
        <v>604</v>
      </c>
      <c r="B115" s="80">
        <v>0.71704460144382731</v>
      </c>
      <c r="C115" s="81">
        <v>0.33147235593703106</v>
      </c>
      <c r="D115" s="81">
        <v>7.4813893691302044E-4</v>
      </c>
      <c r="F115" s="82">
        <v>604</v>
      </c>
      <c r="G115" s="80">
        <v>0.69072263203487794</v>
      </c>
      <c r="H115" s="81">
        <v>0.1877699525049312</v>
      </c>
      <c r="I115" s="81">
        <v>6.629736605046967E-4</v>
      </c>
      <c r="S115" s="113">
        <v>57.8284240036119</v>
      </c>
      <c r="T115" s="113">
        <v>9.4593920541640628</v>
      </c>
      <c r="U115" s="113">
        <v>3.124878192865904</v>
      </c>
    </row>
    <row r="116" spans="1:21">
      <c r="A116" s="82">
        <v>606</v>
      </c>
      <c r="B116" s="80">
        <v>0.74987017862393046</v>
      </c>
      <c r="C116" s="81">
        <v>0.30056851084341696</v>
      </c>
      <c r="D116" s="81">
        <v>6.753974392936261E-4</v>
      </c>
      <c r="F116" s="82">
        <v>606</v>
      </c>
      <c r="G116" s="80">
        <v>0.73741609199961566</v>
      </c>
      <c r="H116" s="81">
        <v>0.15890403667146777</v>
      </c>
      <c r="I116" s="81">
        <v>6.139324066351563E-4</v>
      </c>
      <c r="S116" s="113">
        <v>57.867380260195574</v>
      </c>
      <c r="T116" s="113">
        <v>8.1271955374525504</v>
      </c>
      <c r="U116" s="113">
        <v>3.0966630797386387</v>
      </c>
    </row>
    <row r="117" spans="1:21">
      <c r="A117" s="82">
        <v>608</v>
      </c>
      <c r="B117" s="80">
        <v>0.77627672649378821</v>
      </c>
      <c r="C117" s="81">
        <v>0.27064159879503613</v>
      </c>
      <c r="D117" s="81">
        <v>6.6230654044245336E-4</v>
      </c>
      <c r="F117" s="82">
        <v>608</v>
      </c>
      <c r="G117" s="80">
        <v>0.78025213125585624</v>
      </c>
      <c r="H117" s="81">
        <v>0.13249297414531894</v>
      </c>
      <c r="I117" s="81">
        <v>6.2867652121192496E-4</v>
      </c>
      <c r="S117" s="113">
        <v>58.106671784170651</v>
      </c>
      <c r="T117" s="113">
        <v>6.9993174442763264</v>
      </c>
      <c r="U117" s="113">
        <v>3.0852244996582616</v>
      </c>
    </row>
    <row r="118" spans="1:21">
      <c r="A118" s="82">
        <v>610</v>
      </c>
      <c r="B118" s="80">
        <v>0.79831687624101511</v>
      </c>
      <c r="C118" s="81">
        <v>0.24329444413551857</v>
      </c>
      <c r="D118" s="81">
        <v>8.4803119604700725E-4</v>
      </c>
      <c r="F118" s="82">
        <v>610</v>
      </c>
      <c r="G118" s="80">
        <v>0.82308817051209682</v>
      </c>
      <c r="H118" s="81">
        <v>0.10885925235827675</v>
      </c>
      <c r="I118" s="81">
        <v>6.5531847753485877E-4</v>
      </c>
      <c r="S118" s="113">
        <v>58.331706239698889</v>
      </c>
      <c r="T118" s="113">
        <v>6.0277882278156403</v>
      </c>
      <c r="U118" s="113">
        <v>3.0697829583664684</v>
      </c>
    </row>
    <row r="119" spans="1:21">
      <c r="A119" s="82">
        <v>612</v>
      </c>
      <c r="B119" s="80">
        <v>0.81627993277526811</v>
      </c>
      <c r="C119" s="81">
        <v>0.21845303978185734</v>
      </c>
      <c r="D119" s="81">
        <v>9.2558785057011853E-4</v>
      </c>
      <c r="F119" s="82">
        <v>612</v>
      </c>
      <c r="G119" s="80">
        <v>0.84869440227203508</v>
      </c>
      <c r="H119" s="81">
        <v>8.8819620091675558E-2</v>
      </c>
      <c r="I119" s="81">
        <v>6.8322745821172281E-4</v>
      </c>
      <c r="S119" s="113">
        <v>58.801658525343029</v>
      </c>
      <c r="T119" s="113">
        <v>5.1940890178556369</v>
      </c>
      <c r="U119" s="113">
        <v>3.1010672224829818</v>
      </c>
    </row>
    <row r="120" spans="1:21">
      <c r="A120" s="82">
        <v>614</v>
      </c>
      <c r="B120" s="80">
        <v>0.83169997344643654</v>
      </c>
      <c r="C120" s="81">
        <v>0.19653552328119464</v>
      </c>
      <c r="D120" s="81">
        <v>5.9925468094552828E-4</v>
      </c>
      <c r="F120" s="82">
        <v>614</v>
      </c>
      <c r="G120" s="80">
        <v>0.87430063403197333</v>
      </c>
      <c r="H120" s="81">
        <v>7.1813673165574826E-2</v>
      </c>
      <c r="I120" s="81">
        <v>6.9689844671375317E-4</v>
      </c>
      <c r="S120" s="113">
        <v>59.293770499228849</v>
      </c>
      <c r="T120" s="113">
        <v>4.4895898032078421</v>
      </c>
      <c r="U120" s="113">
        <v>3.1841778860901795</v>
      </c>
    </row>
    <row r="121" spans="1:21">
      <c r="A121" s="82">
        <v>616</v>
      </c>
      <c r="B121" s="80">
        <v>0.84271862453648916</v>
      </c>
      <c r="C121" s="81">
        <v>0.17759634446734715</v>
      </c>
      <c r="D121" s="81">
        <v>7.4830702247228784E-4</v>
      </c>
      <c r="F121" s="82">
        <v>616</v>
      </c>
      <c r="G121" s="80">
        <v>0.88961062855263651</v>
      </c>
      <c r="H121" s="81">
        <v>5.7843385992822238E-2</v>
      </c>
      <c r="I121" s="81">
        <v>7.1572583608943289E-4</v>
      </c>
      <c r="S121" s="113">
        <v>59.825341151241339</v>
      </c>
      <c r="T121" s="113">
        <v>3.9599963867149568</v>
      </c>
      <c r="U121" s="113">
        <v>3.3142516082029374</v>
      </c>
    </row>
    <row r="122" spans="1:21">
      <c r="A122" s="82">
        <v>618</v>
      </c>
      <c r="B122" s="80">
        <v>0.85222344764285107</v>
      </c>
      <c r="C122" s="81">
        <v>0.16176421732917026</v>
      </c>
      <c r="D122" s="81">
        <v>1.0450472462799896E-3</v>
      </c>
      <c r="F122" s="82">
        <v>618</v>
      </c>
      <c r="G122" s="80">
        <v>0.89462438583402493</v>
      </c>
      <c r="H122" s="81">
        <v>4.6657020935335289E-2</v>
      </c>
      <c r="I122" s="81">
        <v>7.4932493316278413E-4</v>
      </c>
      <c r="S122" s="113">
        <v>60.576636731544006</v>
      </c>
      <c r="T122" s="113">
        <v>3.4874014802041704</v>
      </c>
      <c r="U122" s="113">
        <v>3.409834259295784</v>
      </c>
    </row>
    <row r="123" spans="1:21">
      <c r="A123" s="82">
        <v>620</v>
      </c>
      <c r="B123" s="80">
        <v>0.85854791399493013</v>
      </c>
      <c r="C123" s="81">
        <v>0.14793421661174158</v>
      </c>
      <c r="D123" s="81">
        <v>1.1098392856846236E-3</v>
      </c>
      <c r="F123" s="82">
        <v>620</v>
      </c>
      <c r="G123" s="80">
        <v>0.89963814311541324</v>
      </c>
      <c r="H123" s="81">
        <v>3.7745179478405784E-2</v>
      </c>
      <c r="I123" s="81">
        <v>7.9186788008345991E-4</v>
      </c>
      <c r="S123" s="113">
        <v>61.319598085066538</v>
      </c>
      <c r="T123" s="113">
        <v>3.1265891616397132</v>
      </c>
      <c r="U123" s="113">
        <v>3.5950422682395446</v>
      </c>
    </row>
    <row r="124" spans="1:21">
      <c r="A124" s="82">
        <v>622</v>
      </c>
      <c r="B124" s="80">
        <v>0.86500868784818918</v>
      </c>
      <c r="C124" s="81">
        <v>0.13652212666437333</v>
      </c>
      <c r="D124" s="81">
        <v>1.1885725391226059E-3</v>
      </c>
      <c r="F124" s="82">
        <v>622</v>
      </c>
      <c r="G124" s="80">
        <v>0.89635932222876191</v>
      </c>
      <c r="H124" s="81">
        <v>3.0663618731299837E-2</v>
      </c>
      <c r="I124" s="81">
        <v>9.2501065964610476E-4</v>
      </c>
      <c r="S124" s="113">
        <v>62.052536157814878</v>
      </c>
      <c r="T124" s="113">
        <v>2.7713895247132396</v>
      </c>
      <c r="U124" s="113">
        <v>3.7310137793473115</v>
      </c>
    </row>
    <row r="125" spans="1:21">
      <c r="A125" s="82">
        <v>624</v>
      </c>
      <c r="B125" s="80">
        <v>0.87004301843380483</v>
      </c>
      <c r="C125" s="81">
        <v>0.12685209522802326</v>
      </c>
      <c r="D125" s="81">
        <v>1.8192295574936061E-3</v>
      </c>
      <c r="F125" s="82">
        <v>624</v>
      </c>
      <c r="G125" s="80">
        <v>0.89308050134211081</v>
      </c>
      <c r="H125" s="81">
        <v>2.5168498707325768E-2</v>
      </c>
      <c r="I125" s="81">
        <v>1.0683447971721722E-3</v>
      </c>
      <c r="S125" s="113">
        <v>62.919259275223418</v>
      </c>
      <c r="T125" s="113">
        <v>2.5330861347873497</v>
      </c>
      <c r="U125" s="113">
        <v>3.9413800337876621</v>
      </c>
    </row>
    <row r="126" spans="1:21">
      <c r="A126" s="82">
        <v>626</v>
      </c>
      <c r="B126" s="80">
        <v>0.87363373136257427</v>
      </c>
      <c r="C126" s="81">
        <v>0.11826851940984803</v>
      </c>
      <c r="D126" s="81">
        <v>1.5086272187392696E-3</v>
      </c>
      <c r="F126" s="82">
        <v>626</v>
      </c>
      <c r="G126" s="80">
        <v>0.89059407707355964</v>
      </c>
      <c r="H126" s="81">
        <v>2.091100647005548E-2</v>
      </c>
      <c r="I126" s="81">
        <v>1.2223875261571984E-3</v>
      </c>
      <c r="S126" s="113">
        <v>63.493378956114768</v>
      </c>
      <c r="T126" s="113">
        <v>2.3188345044702907</v>
      </c>
      <c r="U126" s="113">
        <v>4.1518828160660961</v>
      </c>
    </row>
    <row r="127" spans="1:21">
      <c r="A127" s="82">
        <v>628</v>
      </c>
      <c r="B127" s="80">
        <v>0.87608353883935208</v>
      </c>
      <c r="C127" s="81">
        <v>0.1118893758140779</v>
      </c>
      <c r="D127" s="81">
        <v>1.90881916058309E-3</v>
      </c>
      <c r="F127" s="82">
        <v>628</v>
      </c>
      <c r="G127" s="80">
        <v>0.88890004942310863</v>
      </c>
      <c r="H127" s="81">
        <v>1.76249253538566E-2</v>
      </c>
      <c r="I127" s="81">
        <v>1.3811467283751456E-3</v>
      </c>
      <c r="S127" s="113">
        <v>64.324371893814615</v>
      </c>
      <c r="T127" s="113">
        <v>2.1333784982511212</v>
      </c>
      <c r="U127" s="113">
        <v>4.4369780412471131</v>
      </c>
    </row>
    <row r="128" spans="1:21">
      <c r="A128" s="82">
        <v>630</v>
      </c>
      <c r="B128" s="80">
        <v>0.87796624541393375</v>
      </c>
      <c r="C128" s="81">
        <v>0.10630118353590477</v>
      </c>
      <c r="D128" s="81">
        <v>2.4034257498059498E-3</v>
      </c>
      <c r="F128" s="82">
        <v>630</v>
      </c>
      <c r="G128" s="80">
        <v>0.88720602177265784</v>
      </c>
      <c r="H128" s="81">
        <v>1.512630589508451E-2</v>
      </c>
      <c r="I128" s="81">
        <v>1.5348712215102977E-3</v>
      </c>
      <c r="S128" s="113">
        <v>64.977008614742232</v>
      </c>
      <c r="T128" s="113">
        <v>1.975515748596034</v>
      </c>
      <c r="U128" s="113">
        <v>4.7383117829344688</v>
      </c>
    </row>
    <row r="129" spans="1:21">
      <c r="A129" s="82">
        <v>632</v>
      </c>
      <c r="B129" s="80">
        <v>0.88023761523847066</v>
      </c>
      <c r="C129" s="81">
        <v>0.1008403803368846</v>
      </c>
      <c r="D129" s="81">
        <v>2.4153993740572872E-3</v>
      </c>
      <c r="F129" s="82">
        <v>632</v>
      </c>
      <c r="G129" s="80">
        <v>0.89180924851328158</v>
      </c>
      <c r="H129" s="81">
        <v>1.3097596694066474E-2</v>
      </c>
      <c r="I129" s="81">
        <v>1.7278348655228213E-3</v>
      </c>
      <c r="S129" s="113">
        <v>65.679421543932676</v>
      </c>
      <c r="T129" s="113">
        <v>1.8546339457904581</v>
      </c>
      <c r="U129" s="113">
        <v>5.0741386201159457</v>
      </c>
    </row>
    <row r="130" spans="1:21">
      <c r="A130" s="82">
        <v>634</v>
      </c>
      <c r="B130" s="80">
        <v>0.88015179272938593</v>
      </c>
      <c r="C130" s="81">
        <v>9.6238721755594725E-2</v>
      </c>
      <c r="D130" s="81">
        <v>2.8286130030514053E-3</v>
      </c>
      <c r="F130" s="82">
        <v>634</v>
      </c>
      <c r="G130" s="80">
        <v>0.89641247525390555</v>
      </c>
      <c r="H130" s="81">
        <v>1.1512472246166413E-2</v>
      </c>
      <c r="I130" s="81">
        <v>1.9179944476443685E-3</v>
      </c>
      <c r="S130" s="113">
        <v>66.282569604174483</v>
      </c>
      <c r="T130" s="113">
        <v>1.7650892919238919</v>
      </c>
      <c r="U130" s="113">
        <v>5.445772364331372</v>
      </c>
    </row>
    <row r="131" spans="1:21">
      <c r="A131" s="82">
        <v>636</v>
      </c>
      <c r="B131" s="80">
        <v>0.88154389710600956</v>
      </c>
      <c r="C131" s="81">
        <v>9.2028376243665055E-2</v>
      </c>
      <c r="D131" s="81">
        <v>3.4749217532059448E-3</v>
      </c>
      <c r="F131" s="82">
        <v>636</v>
      </c>
      <c r="G131" s="80">
        <v>0.90424750977752988</v>
      </c>
      <c r="H131" s="81">
        <v>1.0209984997415485E-2</v>
      </c>
      <c r="I131" s="81">
        <v>2.1541573627466728E-3</v>
      </c>
      <c r="S131" s="113">
        <v>66.966571367476163</v>
      </c>
      <c r="T131" s="113">
        <v>1.6762003726153236</v>
      </c>
      <c r="U131" s="113">
        <v>5.8479353073254279</v>
      </c>
    </row>
    <row r="132" spans="1:21">
      <c r="A132" s="82">
        <v>638</v>
      </c>
      <c r="B132" s="80">
        <v>0.88210621251345966</v>
      </c>
      <c r="C132" s="81">
        <v>8.8203213621875207E-2</v>
      </c>
      <c r="D132" s="81">
        <v>3.5196325119710536E-3</v>
      </c>
      <c r="F132" s="82">
        <v>638</v>
      </c>
      <c r="G132" s="80">
        <v>0.91531435208415457</v>
      </c>
      <c r="H132" s="81">
        <v>9.1128695917067851E-3</v>
      </c>
      <c r="I132" s="81">
        <v>2.4354042916508215E-3</v>
      </c>
      <c r="S132" s="113">
        <v>67.511450885910278</v>
      </c>
      <c r="T132" s="113">
        <v>1.554505157779664</v>
      </c>
      <c r="U132" s="113">
        <v>6.2179272410501598</v>
      </c>
    </row>
    <row r="133" spans="1:21">
      <c r="A133" s="82">
        <v>640</v>
      </c>
      <c r="B133" s="80">
        <v>0.88296754224346041</v>
      </c>
      <c r="C133" s="81">
        <v>8.3983376219539829E-2</v>
      </c>
      <c r="D133" s="81">
        <v>4.2665849625833632E-3</v>
      </c>
      <c r="F133" s="82">
        <v>640</v>
      </c>
      <c r="G133" s="80">
        <v>0.92638119439077948</v>
      </c>
      <c r="H133" s="81">
        <v>8.2268189194178703E-3</v>
      </c>
      <c r="I133" s="81">
        <v>2.7109370006749255E-3</v>
      </c>
      <c r="S133" s="113">
        <v>67.947956580283986</v>
      </c>
      <c r="T133" s="113">
        <v>1.4991027456414687</v>
      </c>
      <c r="U133" s="113">
        <v>6.6849090661634945</v>
      </c>
    </row>
    <row r="134" spans="1:21">
      <c r="A134" s="82">
        <v>642</v>
      </c>
      <c r="B134" s="80">
        <v>0.88221376749661906</v>
      </c>
      <c r="C134" s="81">
        <v>8.0386671534951784E-2</v>
      </c>
      <c r="D134" s="81">
        <v>4.680816992318924E-3</v>
      </c>
      <c r="F134" s="82">
        <v>642</v>
      </c>
      <c r="G134" s="80">
        <v>0.93558868790355765</v>
      </c>
      <c r="H134" s="81">
        <v>7.5319243176677035E-3</v>
      </c>
      <c r="I134" s="81">
        <v>3.0216806815188688E-3</v>
      </c>
      <c r="S134" s="113">
        <v>68.353959923018223</v>
      </c>
      <c r="T134" s="113">
        <v>1.423762863842351</v>
      </c>
      <c r="U134" s="113">
        <v>7.1821997812043206</v>
      </c>
    </row>
    <row r="135" spans="1:21">
      <c r="A135" s="82">
        <v>644</v>
      </c>
      <c r="B135" s="80">
        <v>0.88295540053364985</v>
      </c>
      <c r="C135" s="81">
        <v>7.6237598153067965E-2</v>
      </c>
      <c r="D135" s="81">
        <v>5.0449990749361802E-3</v>
      </c>
      <c r="F135" s="82">
        <v>644</v>
      </c>
      <c r="G135" s="80">
        <v>0.94479618141633603</v>
      </c>
      <c r="H135" s="81">
        <v>6.9589826161441824E-3</v>
      </c>
      <c r="I135" s="81">
        <v>3.3297052465843364E-3</v>
      </c>
      <c r="S135" s="113">
        <v>68.829216222367805</v>
      </c>
      <c r="T135" s="113">
        <v>1.3703878813784387</v>
      </c>
      <c r="U135" s="113">
        <v>7.691607137418524</v>
      </c>
    </row>
    <row r="136" spans="1:21">
      <c r="A136" s="82">
        <v>646</v>
      </c>
      <c r="B136" s="80">
        <v>0.88377537132868511</v>
      </c>
      <c r="C136" s="81">
        <v>7.3110316885970195E-2</v>
      </c>
      <c r="D136" s="81">
        <v>5.6583630554743252E-3</v>
      </c>
      <c r="F136" s="82">
        <v>646</v>
      </c>
      <c r="G136" s="80">
        <v>0.95215875100224379</v>
      </c>
      <c r="H136" s="81">
        <v>6.4209880220250613E-3</v>
      </c>
      <c r="I136" s="81">
        <v>3.6946102974514494E-3</v>
      </c>
      <c r="S136" s="113">
        <v>69.129092804194869</v>
      </c>
      <c r="T136" s="113">
        <v>1.3644412175316551</v>
      </c>
      <c r="U136" s="113">
        <v>8.2175710933477237</v>
      </c>
    </row>
    <row r="137" spans="1:21">
      <c r="A137" s="82">
        <v>648</v>
      </c>
      <c r="B137" s="80">
        <v>0.88376122247954914</v>
      </c>
      <c r="C137" s="81">
        <v>6.9809343911834257E-2</v>
      </c>
      <c r="D137" s="81">
        <v>6.2272337997358249E-3</v>
      </c>
      <c r="F137" s="82">
        <v>648</v>
      </c>
      <c r="G137" s="80">
        <v>0.95767639666128102</v>
      </c>
      <c r="H137" s="81">
        <v>5.8979002449061216E-3</v>
      </c>
      <c r="I137" s="81">
        <v>4.1148249541546715E-3</v>
      </c>
      <c r="S137" s="113">
        <v>69.559817635678783</v>
      </c>
      <c r="T137" s="113">
        <v>1.3321395279178663</v>
      </c>
      <c r="U137" s="113">
        <v>8.7541314853001069</v>
      </c>
    </row>
    <row r="138" spans="1:21">
      <c r="A138" s="82">
        <v>650</v>
      </c>
      <c r="B138" s="80">
        <v>0.88432924290862835</v>
      </c>
      <c r="C138" s="81">
        <v>6.7398769582066517E-2</v>
      </c>
      <c r="D138" s="81">
        <v>7.2748913158773767E-3</v>
      </c>
      <c r="F138" s="82">
        <v>650</v>
      </c>
      <c r="G138" s="80">
        <v>0.96319404232031824</v>
      </c>
      <c r="H138" s="81">
        <v>5.4363483348740206E-3</v>
      </c>
      <c r="I138" s="81">
        <v>4.5264860576755871E-3</v>
      </c>
      <c r="S138" s="113">
        <v>69.802349926254266</v>
      </c>
      <c r="T138" s="113">
        <v>1.3567264890131798</v>
      </c>
      <c r="U138" s="113">
        <v>9.3051454650971781</v>
      </c>
    </row>
    <row r="139" spans="1:21">
      <c r="A139" s="82">
        <v>652</v>
      </c>
      <c r="B139" s="80">
        <v>0.88483251084784642</v>
      </c>
      <c r="C139" s="81">
        <v>6.5359891748153889E-2</v>
      </c>
      <c r="D139" s="81">
        <v>7.5927806579952446E-3</v>
      </c>
      <c r="F139" s="82">
        <v>652</v>
      </c>
      <c r="G139" s="80">
        <v>0.96090724320000076</v>
      </c>
      <c r="H139" s="81">
        <v>5.0757876420020895E-3</v>
      </c>
      <c r="I139" s="81">
        <v>4.9321256029559385E-3</v>
      </c>
      <c r="S139" s="113">
        <v>70.209820739197923</v>
      </c>
      <c r="T139" s="113">
        <v>1.3767325809456676</v>
      </c>
      <c r="U139" s="113">
        <v>9.8653989903194468</v>
      </c>
    </row>
    <row r="140" spans="1:21">
      <c r="A140" s="82">
        <v>654</v>
      </c>
      <c r="B140" s="80">
        <v>0.88554733918186701</v>
      </c>
      <c r="C140" s="81">
        <v>6.440030117768257E-2</v>
      </c>
      <c r="D140" s="81">
        <v>8.4649370754900314E-3</v>
      </c>
      <c r="F140" s="82">
        <v>654</v>
      </c>
      <c r="G140" s="80">
        <v>0.95862044407968339</v>
      </c>
      <c r="H140" s="81">
        <v>4.7736037556606681E-3</v>
      </c>
      <c r="I140" s="81">
        <v>5.3233413897543838E-3</v>
      </c>
      <c r="S140" s="113">
        <v>70.523923075820178</v>
      </c>
      <c r="T140" s="113">
        <v>1.3752333216014478</v>
      </c>
      <c r="U140" s="113">
        <v>10.399294087311047</v>
      </c>
    </row>
    <row r="141" spans="1:21">
      <c r="A141" s="82">
        <v>656</v>
      </c>
      <c r="B141" s="80">
        <v>0.88594141083187639</v>
      </c>
      <c r="C141" s="81">
        <v>6.4174216213082183E-2</v>
      </c>
      <c r="D141" s="81">
        <v>8.8835689919240617E-3</v>
      </c>
      <c r="F141" s="82">
        <v>656</v>
      </c>
      <c r="G141" s="80">
        <v>0.95452588532666005</v>
      </c>
      <c r="H141" s="81">
        <v>4.487346799624075E-3</v>
      </c>
      <c r="I141" s="81">
        <v>5.6891019126713918E-3</v>
      </c>
      <c r="S141" s="113">
        <v>70.784401758870914</v>
      </c>
      <c r="T141" s="113">
        <v>1.4238682705657728</v>
      </c>
      <c r="U141" s="113">
        <v>10.945322809889165</v>
      </c>
    </row>
    <row r="142" spans="1:21">
      <c r="A142" s="82">
        <v>658</v>
      </c>
      <c r="B142" s="80">
        <v>0.8870551457475816</v>
      </c>
      <c r="C142" s="81">
        <v>6.4805337938587615E-2</v>
      </c>
      <c r="D142" s="81">
        <v>9.7174711136067751E-3</v>
      </c>
      <c r="F142" s="82">
        <v>658</v>
      </c>
      <c r="G142" s="80">
        <v>0.94862356694093108</v>
      </c>
      <c r="H142" s="81">
        <v>4.226625583084483E-3</v>
      </c>
      <c r="I142" s="81">
        <v>6.036054360505457E-3</v>
      </c>
      <c r="S142" s="113">
        <v>71.210922244994492</v>
      </c>
      <c r="T142" s="113">
        <v>1.5085456927154417</v>
      </c>
      <c r="U142" s="113">
        <v>11.523002837064329</v>
      </c>
    </row>
    <row r="143" spans="1:21">
      <c r="A143" s="82">
        <v>660</v>
      </c>
      <c r="B143" s="80">
        <v>0.8864485051894142</v>
      </c>
      <c r="C143" s="81">
        <v>6.6718448224624957E-2</v>
      </c>
      <c r="D143" s="81">
        <v>1.0739569737353856E-2</v>
      </c>
      <c r="F143" s="82">
        <v>660</v>
      </c>
      <c r="G143" s="80">
        <v>0.94272124855520179</v>
      </c>
      <c r="H143" s="81">
        <v>4.0532392281750909E-3</v>
      </c>
      <c r="I143" s="81">
        <v>6.3857682466851341E-3</v>
      </c>
      <c r="S143" s="113">
        <v>71.5761353082993</v>
      </c>
      <c r="T143" s="113">
        <v>1.5611103327202778</v>
      </c>
      <c r="U143" s="113">
        <v>12.009836662841073</v>
      </c>
    </row>
    <row r="144" spans="1:21">
      <c r="A144" s="82">
        <v>662</v>
      </c>
      <c r="B144" s="80">
        <v>0.88695274209244446</v>
      </c>
      <c r="C144" s="81">
        <v>6.9617350653607607E-2</v>
      </c>
      <c r="D144" s="81">
        <v>1.1583042848528966E-2</v>
      </c>
      <c r="F144" s="82">
        <v>662</v>
      </c>
      <c r="G144" s="80">
        <v>0.93532699803817931</v>
      </c>
      <c r="H144" s="81">
        <v>4.0322117313470211E-3</v>
      </c>
      <c r="I144" s="81">
        <v>6.6958074524539916E-3</v>
      </c>
      <c r="S144" s="113">
        <v>71.989216530417977</v>
      </c>
      <c r="T144" s="113">
        <v>1.6904169975739125</v>
      </c>
      <c r="U144" s="113">
        <v>12.541088233438819</v>
      </c>
    </row>
    <row r="145" spans="1:21">
      <c r="A145" s="82">
        <v>664</v>
      </c>
      <c r="B145" s="80">
        <v>0.88883757445498146</v>
      </c>
      <c r="C145" s="81">
        <v>7.3292768816861961E-2</v>
      </c>
      <c r="D145" s="81">
        <v>1.2052525590334281E-2</v>
      </c>
      <c r="F145" s="82">
        <v>664</v>
      </c>
      <c r="G145" s="80">
        <v>0.92793274752115662</v>
      </c>
      <c r="H145" s="81">
        <v>4.1362632884211327E-3</v>
      </c>
      <c r="I145" s="81">
        <v>7.0066882366846507E-3</v>
      </c>
      <c r="S145" s="113">
        <v>72.221738822632304</v>
      </c>
      <c r="T145" s="113">
        <v>1.8373989152937471</v>
      </c>
      <c r="U145" s="113">
        <v>12.989901832552361</v>
      </c>
    </row>
    <row r="146" spans="1:21">
      <c r="A146" s="82">
        <v>666</v>
      </c>
      <c r="B146" s="80">
        <v>0.89021665714445497</v>
      </c>
      <c r="C146" s="81">
        <v>7.809328250215089E-2</v>
      </c>
      <c r="D146" s="81">
        <v>1.2818926528892403E-2</v>
      </c>
      <c r="F146" s="82">
        <v>666</v>
      </c>
      <c r="G146" s="80">
        <v>0.92218647700532586</v>
      </c>
      <c r="H146" s="81">
        <v>4.3601946122318021E-3</v>
      </c>
      <c r="I146" s="81">
        <v>7.263330205579047E-3</v>
      </c>
      <c r="S146" s="113">
        <v>72.663686636426576</v>
      </c>
      <c r="T146" s="113">
        <v>1.9699367300637225</v>
      </c>
      <c r="U146" s="113">
        <v>13.358985482496147</v>
      </c>
    </row>
    <row r="147" spans="1:21">
      <c r="A147" s="82">
        <v>668</v>
      </c>
      <c r="B147" s="80">
        <v>0.88953310261184382</v>
      </c>
      <c r="C147" s="81">
        <v>8.3579783016967293E-2</v>
      </c>
      <c r="D147" s="81">
        <v>1.2974722067561534E-2</v>
      </c>
      <c r="F147" s="82">
        <v>668</v>
      </c>
      <c r="G147" s="80">
        <v>0.91808818649068702</v>
      </c>
      <c r="H147" s="81">
        <v>4.7133512569248366E-3</v>
      </c>
      <c r="I147" s="81">
        <v>7.4672623227828088E-3</v>
      </c>
      <c r="S147" s="113">
        <v>72.895253554875822</v>
      </c>
      <c r="T147" s="113">
        <v>2.1549172703441668</v>
      </c>
      <c r="U147" s="113">
        <v>13.712282738549217</v>
      </c>
    </row>
    <row r="148" spans="1:21">
      <c r="A148" s="82">
        <v>670</v>
      </c>
      <c r="B148" s="80">
        <v>0.89227591288058228</v>
      </c>
      <c r="C148" s="81">
        <v>9.0388039158161071E-2</v>
      </c>
      <c r="D148" s="81">
        <v>1.3855025690987869E-2</v>
      </c>
      <c r="F148" s="82">
        <v>670</v>
      </c>
      <c r="G148" s="80">
        <v>0.91398989597604807</v>
      </c>
      <c r="H148" s="81">
        <v>5.2194590835535045E-3</v>
      </c>
      <c r="I148" s="81">
        <v>7.6752814940853776E-3</v>
      </c>
      <c r="S148" s="113">
        <v>73.168966800897508</v>
      </c>
      <c r="T148" s="113">
        <v>2.3495424764722062</v>
      </c>
      <c r="U148" s="113">
        <v>14.042392556166336</v>
      </c>
    </row>
    <row r="149" spans="1:21">
      <c r="A149" s="82">
        <v>672</v>
      </c>
      <c r="B149" s="80">
        <v>0.89148693904015308</v>
      </c>
      <c r="C149" s="81">
        <v>9.7839598284214249E-2</v>
      </c>
      <c r="D149" s="81">
        <v>1.4018137895178048E-2</v>
      </c>
      <c r="F149" s="82">
        <v>672</v>
      </c>
      <c r="G149" s="80">
        <v>0.91560208186915071</v>
      </c>
      <c r="H149" s="81">
        <v>5.8511395672962811E-3</v>
      </c>
      <c r="I149" s="81">
        <v>7.8485757735275857E-3</v>
      </c>
      <c r="S149" s="113">
        <v>73.382515813833223</v>
      </c>
      <c r="T149" s="113">
        <v>2.6161652956694126</v>
      </c>
      <c r="U149" s="113">
        <v>14.235678459637841</v>
      </c>
    </row>
    <row r="150" spans="1:21">
      <c r="A150" s="82">
        <v>674</v>
      </c>
      <c r="B150" s="80">
        <v>0.89155129603458083</v>
      </c>
      <c r="C150" s="81">
        <v>0.10622529784958849</v>
      </c>
      <c r="D150" s="81">
        <v>1.4204010861570191E-2</v>
      </c>
      <c r="F150" s="82">
        <v>674</v>
      </c>
      <c r="G150" s="80">
        <v>0.91721426776225323</v>
      </c>
      <c r="H150" s="81">
        <v>6.7193547101942509E-3</v>
      </c>
      <c r="I150" s="81">
        <v>8.0265354901633886E-3</v>
      </c>
      <c r="S150" s="113">
        <v>73.488402618282706</v>
      </c>
      <c r="T150" s="113">
        <v>2.8791479465857721</v>
      </c>
      <c r="U150" s="113">
        <v>14.354816829338699</v>
      </c>
    </row>
    <row r="151" spans="1:21">
      <c r="A151" s="82">
        <v>676</v>
      </c>
      <c r="B151" s="80">
        <v>0.89314986880229974</v>
      </c>
      <c r="C151" s="81">
        <v>0.11516881406185595</v>
      </c>
      <c r="D151" s="81">
        <v>1.4345232393512262E-2</v>
      </c>
      <c r="F151" s="82">
        <v>676</v>
      </c>
      <c r="G151" s="80">
        <v>0.9202412555961671</v>
      </c>
      <c r="H151" s="81">
        <v>7.9192053977452589E-3</v>
      </c>
      <c r="I151" s="81">
        <v>8.1718390287718514E-3</v>
      </c>
      <c r="S151" s="113">
        <v>73.33924049009542</v>
      </c>
      <c r="T151" s="113">
        <v>3.2622578645104561</v>
      </c>
      <c r="U151" s="113">
        <v>14.478105675644587</v>
      </c>
    </row>
    <row r="152" spans="1:21">
      <c r="A152" s="82">
        <v>678</v>
      </c>
      <c r="B152" s="80">
        <v>0.89219518237520468</v>
      </c>
      <c r="C152" s="81">
        <v>0.12458356308322228</v>
      </c>
      <c r="D152" s="81">
        <v>1.4247554908806265E-2</v>
      </c>
      <c r="F152" s="82">
        <v>678</v>
      </c>
      <c r="G152" s="80">
        <v>0.92468304537089197</v>
      </c>
      <c r="H152" s="81">
        <v>9.4894888424067268E-3</v>
      </c>
      <c r="I152" s="81">
        <v>8.2830440427624271E-3</v>
      </c>
      <c r="S152" s="113">
        <v>73.407032108066701</v>
      </c>
      <c r="T152" s="113">
        <v>3.6264186996178727</v>
      </c>
      <c r="U152" s="113">
        <v>14.542720288541217</v>
      </c>
    </row>
    <row r="153" spans="1:21">
      <c r="A153" s="82">
        <v>680</v>
      </c>
      <c r="B153" s="80">
        <v>0.89350867214702046</v>
      </c>
      <c r="C153" s="81">
        <v>0.13454375963179691</v>
      </c>
      <c r="D153" s="81">
        <v>1.4566788935398273E-2</v>
      </c>
      <c r="F153" s="82">
        <v>680</v>
      </c>
      <c r="G153" s="80">
        <v>0.92912483514561706</v>
      </c>
      <c r="H153" s="81">
        <v>1.1412435328549303E-2</v>
      </c>
      <c r="I153" s="81">
        <v>8.3946780876224536E-3</v>
      </c>
      <c r="S153" s="113">
        <v>73.369985429888672</v>
      </c>
      <c r="T153" s="113">
        <v>3.9782954414901672</v>
      </c>
      <c r="U153" s="113">
        <v>14.564804726875904</v>
      </c>
    </row>
    <row r="154" spans="1:21">
      <c r="A154" s="82">
        <v>682</v>
      </c>
      <c r="B154" s="80">
        <v>0.89394768196566921</v>
      </c>
      <c r="C154" s="81">
        <v>0.14472917105501809</v>
      </c>
      <c r="D154" s="81">
        <v>1.3817720584216361E-2</v>
      </c>
      <c r="F154" s="82">
        <v>682</v>
      </c>
      <c r="G154" s="80">
        <v>0.93651209275686553</v>
      </c>
      <c r="H154" s="81">
        <v>1.3698147268577085E-2</v>
      </c>
      <c r="I154" s="81">
        <v>8.624660752497619E-3</v>
      </c>
      <c r="S154" s="113">
        <v>73.240120362480852</v>
      </c>
      <c r="T154" s="113">
        <v>4.373979946963753</v>
      </c>
      <c r="U154" s="113">
        <v>14.520166271536366</v>
      </c>
    </row>
    <row r="155" spans="1:21">
      <c r="A155" s="82">
        <v>684</v>
      </c>
      <c r="B155" s="80">
        <v>0.89396434221080834</v>
      </c>
      <c r="C155" s="81">
        <v>0.15568518555577904</v>
      </c>
      <c r="D155" s="81">
        <v>1.3877193210039477E-2</v>
      </c>
      <c r="F155" s="82">
        <v>684</v>
      </c>
      <c r="G155" s="80">
        <v>0.94389935036811423</v>
      </c>
      <c r="H155" s="81">
        <v>1.6358010443245176E-2</v>
      </c>
      <c r="I155" s="81">
        <v>8.84229253986199E-3</v>
      </c>
      <c r="S155" s="113">
        <v>73.218855526480894</v>
      </c>
      <c r="T155" s="113">
        <v>4.7499128800998793</v>
      </c>
      <c r="U155" s="113">
        <v>14.506009931448668</v>
      </c>
    </row>
    <row r="156" spans="1:21">
      <c r="A156" s="82">
        <v>686</v>
      </c>
      <c r="B156" s="80">
        <v>0.89481172083938987</v>
      </c>
      <c r="C156" s="81">
        <v>0.16654606362999472</v>
      </c>
      <c r="D156" s="81">
        <v>1.3847877111026087E-2</v>
      </c>
      <c r="F156" s="82">
        <v>686</v>
      </c>
      <c r="G156" s="80">
        <v>0.95036194234568117</v>
      </c>
      <c r="H156" s="81">
        <v>1.9405845742487517E-2</v>
      </c>
      <c r="I156" s="81">
        <v>9.1106095599706276E-3</v>
      </c>
      <c r="S156" s="113">
        <v>72.246914183059602</v>
      </c>
      <c r="T156" s="113">
        <v>5.0939674484452659</v>
      </c>
      <c r="U156" s="113">
        <v>14.359892207073319</v>
      </c>
    </row>
    <row r="157" spans="1:21">
      <c r="A157" s="82">
        <v>688</v>
      </c>
      <c r="B157" s="80">
        <v>0.88237964816884418</v>
      </c>
      <c r="C157" s="81">
        <v>0.17519796128431919</v>
      </c>
      <c r="D157" s="81">
        <v>1.3655527906909232E-2</v>
      </c>
      <c r="F157" s="82">
        <v>688</v>
      </c>
      <c r="G157" s="80">
        <v>0.95589986868956656</v>
      </c>
      <c r="H157" s="81">
        <v>2.2849879886502885E-2</v>
      </c>
      <c r="I157" s="81">
        <v>9.4361248650253263E-3</v>
      </c>
      <c r="S157" s="113">
        <v>73.262120172794326</v>
      </c>
      <c r="T157" s="113">
        <v>5.5613180397160944</v>
      </c>
      <c r="U157" s="113">
        <v>14.573803345086681</v>
      </c>
    </row>
    <row r="158" spans="1:21">
      <c r="A158" s="82">
        <v>690</v>
      </c>
      <c r="B158" s="80">
        <v>0.89488297922913351</v>
      </c>
      <c r="C158" s="81">
        <v>0.18937154865966202</v>
      </c>
      <c r="D158" s="81">
        <v>1.3766948857931789E-2</v>
      </c>
      <c r="F158" s="82">
        <v>690</v>
      </c>
      <c r="G158" s="80">
        <v>0.96143779503345206</v>
      </c>
      <c r="H158" s="81">
        <v>2.6693403563370795E-2</v>
      </c>
      <c r="I158" s="81">
        <v>9.7710584841654586E-3</v>
      </c>
      <c r="S158" s="113">
        <v>73.241788856868126</v>
      </c>
      <c r="T158" s="113">
        <v>6.0065198406725795</v>
      </c>
      <c r="U158" s="113">
        <v>14.657721350096262</v>
      </c>
    </row>
    <row r="159" spans="1:21">
      <c r="A159" s="82">
        <v>692</v>
      </c>
      <c r="B159" s="80">
        <v>0.89539222903678417</v>
      </c>
      <c r="C159" s="81">
        <v>0.20139070432278883</v>
      </c>
      <c r="D159" s="81">
        <v>1.3959703444868054E-2</v>
      </c>
      <c r="F159" s="82">
        <v>692</v>
      </c>
      <c r="G159" s="80">
        <v>0.96433072729755454</v>
      </c>
      <c r="H159" s="81">
        <v>3.1027239764085716E-2</v>
      </c>
      <c r="I159" s="81">
        <v>1.0319570058412074E-2</v>
      </c>
      <c r="S159" s="113">
        <v>73.288777265562061</v>
      </c>
      <c r="T159" s="113">
        <v>6.4382456168436626</v>
      </c>
      <c r="U159" s="113">
        <v>14.734508572710789</v>
      </c>
    </row>
    <row r="160" spans="1:21">
      <c r="A160" s="82">
        <v>694</v>
      </c>
      <c r="B160" s="80">
        <v>0.89502185745063156</v>
      </c>
      <c r="C160" s="81">
        <v>0.21284855309182113</v>
      </c>
      <c r="D160" s="81">
        <v>1.4411774500210443E-2</v>
      </c>
      <c r="F160" s="82">
        <v>694</v>
      </c>
      <c r="G160" s="80">
        <v>0.96722365956165712</v>
      </c>
      <c r="H160" s="81">
        <v>3.5675665745201812E-2</v>
      </c>
      <c r="I160" s="81">
        <v>1.0884800424685974E-2</v>
      </c>
      <c r="S160" s="113">
        <v>73.604419514689681</v>
      </c>
      <c r="T160" s="113">
        <v>6.8509713670218702</v>
      </c>
      <c r="U160" s="113">
        <v>14.900602879798974</v>
      </c>
    </row>
    <row r="161" spans="1:21">
      <c r="A161" s="82">
        <v>696</v>
      </c>
      <c r="B161" s="80">
        <v>0.89485840907532288</v>
      </c>
      <c r="C161" s="81">
        <v>0.22400510355217387</v>
      </c>
      <c r="D161" s="81">
        <v>1.4150688189739092E-2</v>
      </c>
      <c r="F161" s="82">
        <v>696</v>
      </c>
      <c r="G161" s="80">
        <v>0.96822900703553194</v>
      </c>
      <c r="H161" s="81">
        <v>4.0540289933141738E-2</v>
      </c>
      <c r="I161" s="81">
        <v>1.1408233216671931E-2</v>
      </c>
      <c r="S161" s="113">
        <v>73.788727633609071</v>
      </c>
      <c r="T161" s="113">
        <v>7.2973671038620154</v>
      </c>
      <c r="U161" s="113">
        <v>15.08862985715097</v>
      </c>
    </row>
    <row r="162" spans="1:21">
      <c r="A162" s="82">
        <v>698</v>
      </c>
      <c r="B162" s="80">
        <v>0.89406629104619695</v>
      </c>
      <c r="C162" s="81">
        <v>0.23462023065135484</v>
      </c>
      <c r="D162" s="81">
        <v>1.4415561368986876E-2</v>
      </c>
      <c r="F162" s="82">
        <v>698</v>
      </c>
      <c r="G162" s="80">
        <v>0.96734676971917921</v>
      </c>
      <c r="H162" s="81">
        <v>4.5538186988301824E-2</v>
      </c>
      <c r="I162" s="81">
        <v>1.1885887451961875E-2</v>
      </c>
      <c r="S162" s="113">
        <v>73.894194222859639</v>
      </c>
      <c r="T162" s="113">
        <v>7.6168225316643747</v>
      </c>
      <c r="U162" s="113">
        <v>15.161611012075943</v>
      </c>
    </row>
    <row r="163" spans="1:21">
      <c r="A163" s="82">
        <v>700</v>
      </c>
      <c r="B163" s="80">
        <v>0.89377495922244332</v>
      </c>
      <c r="C163" s="81">
        <v>0.245462995034713</v>
      </c>
      <c r="D163" s="81">
        <v>1.4776549825978053E-2</v>
      </c>
      <c r="F163" s="82">
        <v>700</v>
      </c>
      <c r="G163" s="80">
        <v>0.96646453240282659</v>
      </c>
      <c r="H163" s="81">
        <v>5.0602555942668014E-2</v>
      </c>
      <c r="I163" s="81">
        <v>1.2371615023452655E-2</v>
      </c>
      <c r="S163" s="113">
        <v>74.046981078516183</v>
      </c>
      <c r="T163" s="113">
        <v>7.995842615397672</v>
      </c>
      <c r="U163" s="113">
        <v>15.240664943377874</v>
      </c>
    </row>
    <row r="164" spans="1:21">
      <c r="A164" s="82">
        <v>702</v>
      </c>
      <c r="B164" s="80">
        <v>0.89551847117917993</v>
      </c>
      <c r="C164" s="81">
        <v>0.25475664335432013</v>
      </c>
      <c r="D164" s="81">
        <v>1.4328196427711225E-2</v>
      </c>
      <c r="F164" s="82">
        <v>702</v>
      </c>
      <c r="G164" s="80">
        <v>0.96338704444913681</v>
      </c>
      <c r="H164" s="81">
        <v>5.5682062062199937E-2</v>
      </c>
      <c r="I164" s="81">
        <v>1.2598156225493061E-2</v>
      </c>
      <c r="S164" s="113">
        <v>73.939017882586469</v>
      </c>
      <c r="T164" s="113">
        <v>8.3600481035304171</v>
      </c>
      <c r="U164" s="113">
        <v>15.254934407777546</v>
      </c>
    </row>
    <row r="165" spans="1:21">
      <c r="A165" s="82">
        <v>704</v>
      </c>
      <c r="B165" s="80">
        <v>0.89408813228151574</v>
      </c>
      <c r="C165" s="81">
        <v>0.26276434815905969</v>
      </c>
      <c r="D165" s="81">
        <v>1.4103119976466438E-2</v>
      </c>
      <c r="F165" s="82">
        <v>704</v>
      </c>
      <c r="G165" s="80">
        <v>0.96030955649544714</v>
      </c>
      <c r="H165" s="81">
        <v>6.0652646406300095E-2</v>
      </c>
      <c r="I165" s="81">
        <v>1.2825489868054178E-2</v>
      </c>
      <c r="S165" s="113">
        <v>73.991375313242997</v>
      </c>
      <c r="T165" s="113">
        <v>8.6964910228967955</v>
      </c>
      <c r="U165" s="113">
        <v>15.18665511978331</v>
      </c>
    </row>
    <row r="166" spans="1:21">
      <c r="A166" s="82">
        <v>706</v>
      </c>
      <c r="B166" s="80">
        <v>0.89224546961958318</v>
      </c>
      <c r="C166" s="81">
        <v>0.26957426538107448</v>
      </c>
      <c r="D166" s="81">
        <v>1.3740134267535734E-2</v>
      </c>
      <c r="F166" s="82">
        <v>706</v>
      </c>
      <c r="G166" s="80">
        <v>0.95720234954902916</v>
      </c>
      <c r="H166" s="81">
        <v>6.5411310438079795E-2</v>
      </c>
      <c r="I166" s="81">
        <v>1.28236384451739E-2</v>
      </c>
      <c r="S166" s="113">
        <v>73.82051231357687</v>
      </c>
      <c r="T166" s="113">
        <v>9.0177030013463231</v>
      </c>
      <c r="U166" s="113">
        <v>15.010218195881169</v>
      </c>
    </row>
    <row r="167" spans="1:21">
      <c r="A167" s="82">
        <v>708</v>
      </c>
      <c r="B167" s="80">
        <v>0.8926221790200588</v>
      </c>
      <c r="C167" s="81">
        <v>0.27476778287870207</v>
      </c>
      <c r="D167" s="81">
        <v>1.2620704217587033E-2</v>
      </c>
      <c r="F167" s="82">
        <v>708</v>
      </c>
      <c r="G167" s="80">
        <v>0.95406542360988311</v>
      </c>
      <c r="H167" s="81">
        <v>6.9859991652769612E-2</v>
      </c>
      <c r="I167" s="81">
        <v>1.2584765504772399E-2</v>
      </c>
      <c r="S167" s="113">
        <v>73.628281315770849</v>
      </c>
      <c r="T167" s="113">
        <v>9.2407858763232014</v>
      </c>
      <c r="U167" s="113">
        <v>14.754461712834555</v>
      </c>
    </row>
    <row r="168" spans="1:21">
      <c r="A168" s="82">
        <v>710</v>
      </c>
      <c r="B168" s="80">
        <v>0.89301355141373395</v>
      </c>
      <c r="C168" s="81">
        <v>0.27799991987262512</v>
      </c>
      <c r="D168" s="81">
        <v>1.2545194251932646E-2</v>
      </c>
      <c r="F168" s="82">
        <v>710</v>
      </c>
      <c r="G168" s="80">
        <v>0.95092849767073717</v>
      </c>
      <c r="H168" s="81">
        <v>7.3909841472222806E-2</v>
      </c>
      <c r="I168" s="81">
        <v>1.2324753178500944E-2</v>
      </c>
      <c r="S168" s="113">
        <v>73.295890867128335</v>
      </c>
      <c r="T168" s="113">
        <v>9.5263283599158832</v>
      </c>
      <c r="U168" s="113">
        <v>14.364786219365639</v>
      </c>
    </row>
    <row r="169" spans="1:21">
      <c r="A169" s="82">
        <v>712</v>
      </c>
      <c r="B169" s="80">
        <v>0.89222382613198103</v>
      </c>
      <c r="C169" s="81">
        <v>0.27911712526075999</v>
      </c>
      <c r="D169" s="81">
        <v>1.1045109734558493E-2</v>
      </c>
      <c r="F169" s="82">
        <v>712</v>
      </c>
      <c r="G169" s="80">
        <v>0.94560021214596468</v>
      </c>
      <c r="H169" s="81">
        <v>7.7433510267762337E-2</v>
      </c>
      <c r="I169" s="81">
        <v>1.168208423340902E-2</v>
      </c>
      <c r="S169" s="113">
        <v>72.958014728443089</v>
      </c>
      <c r="T169" s="113">
        <v>9.7484409541739652</v>
      </c>
      <c r="U169" s="113">
        <v>13.951734329069815</v>
      </c>
    </row>
    <row r="170" spans="1:21">
      <c r="A170" s="82">
        <v>714</v>
      </c>
      <c r="B170" s="80">
        <v>0.89088930589048509</v>
      </c>
      <c r="C170" s="81">
        <v>0.27819908148558525</v>
      </c>
      <c r="D170" s="81">
        <v>9.860986519063553E-3</v>
      </c>
      <c r="F170" s="82">
        <v>714</v>
      </c>
      <c r="G170" s="80">
        <v>0.9402719266211923</v>
      </c>
      <c r="H170" s="81">
        <v>8.0411582979719065E-2</v>
      </c>
      <c r="I170" s="81">
        <v>1.1050026378558026E-2</v>
      </c>
      <c r="S170" s="113">
        <v>72.532592851813789</v>
      </c>
      <c r="T170" s="113">
        <v>9.9645214066030405</v>
      </c>
      <c r="U170" s="113">
        <v>13.451974298505457</v>
      </c>
    </row>
    <row r="171" spans="1:21">
      <c r="A171" s="82">
        <v>716</v>
      </c>
      <c r="B171" s="80">
        <v>0.89206160379251642</v>
      </c>
      <c r="C171" s="81">
        <v>0.27760092430446787</v>
      </c>
      <c r="D171" s="81">
        <v>9.6694876301288736E-3</v>
      </c>
      <c r="F171" s="82">
        <v>716</v>
      </c>
      <c r="G171" s="80">
        <v>0.93604164223208408</v>
      </c>
      <c r="H171" s="81">
        <v>8.2755869167562113E-2</v>
      </c>
      <c r="I171" s="81">
        <v>1.037723842597744E-2</v>
      </c>
      <c r="S171" s="113">
        <v>72.17295056348955</v>
      </c>
      <c r="T171" s="113">
        <v>10.234527718835597</v>
      </c>
      <c r="U171" s="113">
        <v>12.977863809410515</v>
      </c>
    </row>
    <row r="172" spans="1:21">
      <c r="A172" s="82">
        <v>718</v>
      </c>
      <c r="B172" s="80">
        <v>0.89196544896522956</v>
      </c>
      <c r="C172" s="81">
        <v>0.27549476280991908</v>
      </c>
      <c r="D172" s="81">
        <v>8.6280393922943729E-3</v>
      </c>
      <c r="F172" s="82">
        <v>718</v>
      </c>
      <c r="G172" s="80">
        <v>0.93290935897864025</v>
      </c>
      <c r="H172" s="81">
        <v>8.4446295634006491E-2</v>
      </c>
      <c r="I172" s="81">
        <v>9.6634157625664768E-3</v>
      </c>
      <c r="S172" s="113">
        <v>71.739850540875423</v>
      </c>
      <c r="T172" s="113">
        <v>10.476285322427522</v>
      </c>
      <c r="U172" s="113">
        <v>12.499940734228264</v>
      </c>
    </row>
    <row r="173" spans="1:21">
      <c r="A173" s="82">
        <v>720</v>
      </c>
      <c r="B173" s="80">
        <v>0.89273281886760003</v>
      </c>
      <c r="C173" s="81">
        <v>0.27207496323276703</v>
      </c>
      <c r="D173" s="81">
        <v>8.2328109181418578E-3</v>
      </c>
      <c r="F173" s="82">
        <v>720</v>
      </c>
      <c r="G173" s="80">
        <v>0.92977707572519652</v>
      </c>
      <c r="H173" s="81">
        <v>8.5523995980046091E-2</v>
      </c>
      <c r="I173" s="81">
        <v>8.9607361411532475E-3</v>
      </c>
      <c r="S173" s="113">
        <v>71.143857283966</v>
      </c>
      <c r="T173" s="113">
        <v>10.701631453443774</v>
      </c>
      <c r="U173" s="113">
        <v>11.994259727353015</v>
      </c>
    </row>
    <row r="174" spans="1:21">
      <c r="A174" s="82">
        <v>722</v>
      </c>
      <c r="B174" s="80">
        <v>0.89149835897079743</v>
      </c>
      <c r="C174" s="81">
        <v>0.26916841785453061</v>
      </c>
      <c r="D174" s="81">
        <v>7.2366765696086589E-3</v>
      </c>
      <c r="F174" s="82">
        <v>722</v>
      </c>
      <c r="G174" s="80">
        <v>0.92983475411296523</v>
      </c>
      <c r="H174" s="81">
        <v>8.5881035636672945E-2</v>
      </c>
      <c r="I174" s="81">
        <v>8.5075561679157398E-3</v>
      </c>
      <c r="S174" s="113">
        <v>70.916692689664629</v>
      </c>
      <c r="T174" s="113">
        <v>10.996855289371508</v>
      </c>
      <c r="U174" s="113">
        <v>11.608937159727011</v>
      </c>
    </row>
    <row r="175" spans="1:21">
      <c r="A175" s="82">
        <v>724</v>
      </c>
      <c r="B175" s="80">
        <v>0.89149498737222632</v>
      </c>
      <c r="C175" s="81">
        <v>0.2660157161184401</v>
      </c>
      <c r="D175" s="81">
        <v>6.8723461762038142E-3</v>
      </c>
      <c r="F175" s="82">
        <v>724</v>
      </c>
      <c r="G175" s="80">
        <v>0.92989243250073406</v>
      </c>
      <c r="H175" s="81">
        <v>8.5782973131903542E-2</v>
      </c>
      <c r="I175" s="81">
        <v>8.0467878777919812E-3</v>
      </c>
      <c r="S175" s="113">
        <v>70.415872581805971</v>
      </c>
      <c r="T175" s="113">
        <v>11.143931356458143</v>
      </c>
      <c r="U175" s="113">
        <v>11.114792912974142</v>
      </c>
    </row>
    <row r="176" spans="1:21">
      <c r="A176" s="82">
        <v>726</v>
      </c>
      <c r="B176" s="80">
        <v>0.89217862100392398</v>
      </c>
      <c r="C176" s="81">
        <v>0.26387759859285886</v>
      </c>
      <c r="D176" s="81">
        <v>6.6360475420314743E-3</v>
      </c>
      <c r="F176" s="82">
        <v>726</v>
      </c>
      <c r="G176" s="80">
        <v>0.93095189533550704</v>
      </c>
      <c r="H176" s="81">
        <v>8.5379534773355595E-2</v>
      </c>
      <c r="I176" s="81">
        <v>7.5924986125022959E-3</v>
      </c>
      <c r="S176" s="113">
        <v>70.122238046279989</v>
      </c>
      <c r="T176" s="113">
        <v>11.50316436783287</v>
      </c>
      <c r="U176" s="113">
        <v>10.833220092324243</v>
      </c>
    </row>
    <row r="177" spans="1:21">
      <c r="A177" s="82">
        <v>728</v>
      </c>
      <c r="B177" s="80">
        <v>0.8914270906936681</v>
      </c>
      <c r="C177" s="81">
        <v>0.26294877756711932</v>
      </c>
      <c r="D177" s="81">
        <v>6.0478074089108762E-3</v>
      </c>
      <c r="F177" s="82">
        <v>728</v>
      </c>
      <c r="G177" s="80">
        <v>0.93301314261728407</v>
      </c>
      <c r="H177" s="81">
        <v>8.4814852698911633E-2</v>
      </c>
      <c r="I177" s="81">
        <v>7.1533772489462072E-3</v>
      </c>
      <c r="S177" s="113">
        <v>69.84131411896432</v>
      </c>
      <c r="T177" s="113">
        <v>11.840035271733877</v>
      </c>
      <c r="U177" s="113">
        <v>10.525553926592995</v>
      </c>
    </row>
    <row r="178" spans="1:21">
      <c r="A178" s="82">
        <v>730</v>
      </c>
      <c r="B178" s="80">
        <v>0.88851792515818429</v>
      </c>
      <c r="C178" s="81">
        <v>0.26296513130329746</v>
      </c>
      <c r="D178" s="81">
        <v>5.5344444487509499E-3</v>
      </c>
      <c r="F178" s="82">
        <v>730</v>
      </c>
      <c r="G178" s="80">
        <v>0.935074389899061</v>
      </c>
      <c r="H178" s="81">
        <v>8.4229439289566777E-2</v>
      </c>
      <c r="I178" s="81">
        <v>6.7316540139917428E-3</v>
      </c>
      <c r="S178" s="113">
        <v>69.46991777354738</v>
      </c>
      <c r="T178" s="113">
        <v>12.176149919104144</v>
      </c>
      <c r="U178" s="113">
        <v>10.272639870487374</v>
      </c>
    </row>
    <row r="179" spans="1:21">
      <c r="A179" s="82">
        <v>732</v>
      </c>
      <c r="B179" s="80">
        <v>0.8918305059232956</v>
      </c>
      <c r="C179" s="81">
        <v>0.26603476911095236</v>
      </c>
      <c r="D179" s="81">
        <v>5.8503068767717702E-3</v>
      </c>
      <c r="F179" s="82">
        <v>732</v>
      </c>
      <c r="G179" s="80">
        <v>0.93819555903307839</v>
      </c>
      <c r="H179" s="81">
        <v>8.3748998829958302E-2</v>
      </c>
      <c r="I179" s="81">
        <v>6.5571832290368141E-3</v>
      </c>
      <c r="S179" s="113">
        <v>69.665446188818422</v>
      </c>
      <c r="T179" s="113">
        <v>12.602116539318192</v>
      </c>
      <c r="U179" s="113">
        <v>10.112929027964498</v>
      </c>
    </row>
    <row r="180" spans="1:21">
      <c r="A180" s="82">
        <v>734</v>
      </c>
      <c r="B180" s="80">
        <v>0.88917955935638959</v>
      </c>
      <c r="C180" s="81">
        <v>0.26998623319945281</v>
      </c>
      <c r="D180" s="81">
        <v>5.2840365149859937E-3</v>
      </c>
      <c r="F180" s="82">
        <v>734</v>
      </c>
      <c r="G180" s="80">
        <v>0.94131672816709566</v>
      </c>
      <c r="H180" s="81">
        <v>8.3550241269955874E-2</v>
      </c>
      <c r="I180" s="81">
        <v>6.3719346993641552E-3</v>
      </c>
      <c r="S180" s="113">
        <v>69.424821938804257</v>
      </c>
      <c r="T180" s="113">
        <v>13.128930972527264</v>
      </c>
      <c r="U180" s="113">
        <v>10.027294715232374</v>
      </c>
    </row>
    <row r="181" spans="1:21">
      <c r="A181" s="82">
        <v>736</v>
      </c>
      <c r="B181" s="80">
        <v>0.89357065616884679</v>
      </c>
      <c r="C181" s="81">
        <v>0.27702089070159386</v>
      </c>
      <c r="D181" s="81">
        <v>5.2376350132423734E-3</v>
      </c>
      <c r="F181" s="82">
        <v>736</v>
      </c>
      <c r="G181" s="80">
        <v>0.94595828825606509</v>
      </c>
      <c r="H181" s="81">
        <v>8.3787499880488545E-2</v>
      </c>
      <c r="I181" s="81">
        <v>6.2516552570128009E-3</v>
      </c>
      <c r="S181" s="113">
        <v>69.697349106008559</v>
      </c>
      <c r="T181" s="113">
        <v>13.806863469335937</v>
      </c>
      <c r="U181" s="113">
        <v>9.9871856036809294</v>
      </c>
    </row>
    <row r="182" spans="1:21">
      <c r="A182" s="82">
        <v>738</v>
      </c>
      <c r="B182" s="80">
        <v>0.8925401137175929</v>
      </c>
      <c r="C182" s="81">
        <v>0.28485573433970574</v>
      </c>
      <c r="D182" s="81">
        <v>5.5793925047761999E-3</v>
      </c>
      <c r="F182" s="82">
        <v>738</v>
      </c>
      <c r="G182" s="80">
        <v>0.95212023929998646</v>
      </c>
      <c r="H182" s="81">
        <v>8.4626625340763664E-2</v>
      </c>
      <c r="I182" s="81">
        <v>6.1950909990361831E-3</v>
      </c>
      <c r="S182" s="113">
        <v>69.740055046569267</v>
      </c>
      <c r="T182" s="113">
        <v>14.472757544371781</v>
      </c>
      <c r="U182" s="113">
        <v>9.9498757337854702</v>
      </c>
    </row>
    <row r="183" spans="1:21">
      <c r="A183" s="82">
        <v>740</v>
      </c>
      <c r="B183" s="80">
        <v>0.89214477648219626</v>
      </c>
      <c r="C183" s="81">
        <v>0.29381733458067316</v>
      </c>
      <c r="D183" s="81">
        <v>5.034360247773143E-3</v>
      </c>
      <c r="F183" s="82">
        <v>740</v>
      </c>
      <c r="G183" s="80">
        <v>0.95828219034390794</v>
      </c>
      <c r="H183" s="81">
        <v>8.6248605495154243E-2</v>
      </c>
      <c r="I183" s="81">
        <v>6.1202610462117229E-3</v>
      </c>
      <c r="S183" s="113">
        <v>69.748098808136675</v>
      </c>
      <c r="T183" s="113">
        <v>15.278290241521239</v>
      </c>
      <c r="U183" s="113">
        <v>9.87707301531632</v>
      </c>
    </row>
    <row r="184" spans="1:21">
      <c r="A184" s="82">
        <v>742</v>
      </c>
      <c r="B184" s="80">
        <v>0.8915641397487859</v>
      </c>
      <c r="C184" s="81">
        <v>0.30626319026707882</v>
      </c>
      <c r="D184" s="81">
        <v>5.7988034839350942E-3</v>
      </c>
      <c r="F184" s="82">
        <v>742</v>
      </c>
      <c r="G184" s="80">
        <v>0.96362933542510898</v>
      </c>
      <c r="H184" s="81">
        <v>8.8889053610153215E-2</v>
      </c>
      <c r="I184" s="81">
        <v>6.0445696433383475E-3</v>
      </c>
      <c r="S184" s="113">
        <v>69.605880362841475</v>
      </c>
      <c r="T184" s="113">
        <v>16.211061169085291</v>
      </c>
      <c r="U184" s="113">
        <v>9.8005564968591745</v>
      </c>
    </row>
    <row r="185" spans="1:21">
      <c r="A185" s="82">
        <v>744</v>
      </c>
      <c r="B185" s="80">
        <v>0.89155440067373426</v>
      </c>
      <c r="C185" s="81">
        <v>0.31760763072053494</v>
      </c>
      <c r="D185" s="81">
        <v>4.6629900356507485E-3</v>
      </c>
      <c r="F185" s="82">
        <v>744</v>
      </c>
      <c r="G185" s="80">
        <v>0.96897648050631013</v>
      </c>
      <c r="H185" s="81">
        <v>9.2586799805098832E-2</v>
      </c>
      <c r="I185" s="81">
        <v>5.9830015761546647E-3</v>
      </c>
      <c r="S185" s="113">
        <v>69.549959545531024</v>
      </c>
      <c r="T185" s="113">
        <v>17.233517734082014</v>
      </c>
      <c r="U185" s="113">
        <v>9.6472609685278066</v>
      </c>
    </row>
    <row r="186" spans="1:21">
      <c r="A186" s="82">
        <v>746</v>
      </c>
      <c r="B186" s="80">
        <v>0.89175894102459108</v>
      </c>
      <c r="C186" s="81">
        <v>0.33403351515313068</v>
      </c>
      <c r="D186" s="81">
        <v>5.8335180956167153E-3</v>
      </c>
      <c r="F186" s="82">
        <v>746</v>
      </c>
      <c r="G186" s="80">
        <v>0.97243965599403692</v>
      </c>
      <c r="H186" s="81">
        <v>9.7468535571052187E-2</v>
      </c>
      <c r="I186" s="81">
        <v>5.8772916276032192E-3</v>
      </c>
      <c r="S186" s="113">
        <v>69.332468741630024</v>
      </c>
      <c r="T186" s="113">
        <v>18.327139465872939</v>
      </c>
      <c r="U186" s="113">
        <v>9.4315787235970721</v>
      </c>
    </row>
    <row r="187" spans="1:21">
      <c r="A187" s="82">
        <v>748</v>
      </c>
      <c r="B187" s="80">
        <v>0.89357453202409576</v>
      </c>
      <c r="C187" s="81">
        <v>0.34802518451641706</v>
      </c>
      <c r="D187" s="81">
        <v>5.9802469014712508E-3</v>
      </c>
      <c r="F187" s="82">
        <v>748</v>
      </c>
      <c r="G187" s="80">
        <v>0.97401886188828946</v>
      </c>
      <c r="H187" s="81">
        <v>0.10360731418337844</v>
      </c>
      <c r="I187" s="81">
        <v>5.7149094416447934E-3</v>
      </c>
      <c r="S187" s="113">
        <v>69.240231291756743</v>
      </c>
      <c r="T187" s="113">
        <v>19.548118886203014</v>
      </c>
      <c r="U187" s="113">
        <v>9.2208806804903034</v>
      </c>
    </row>
    <row r="188" spans="1:21">
      <c r="A188" s="82">
        <v>750</v>
      </c>
      <c r="B188" s="80">
        <v>0.89419183118419798</v>
      </c>
      <c r="C188" s="81">
        <v>0.36186207674177573</v>
      </c>
      <c r="D188" s="81">
        <v>4.4665968907256397E-3</v>
      </c>
      <c r="F188" s="82">
        <v>750</v>
      </c>
      <c r="G188" s="80">
        <v>0.97559806778254166</v>
      </c>
      <c r="H188" s="81">
        <v>0.11102123442651493</v>
      </c>
      <c r="I188" s="81">
        <v>5.5302635337353976E-3</v>
      </c>
      <c r="S188" s="113">
        <v>68.945869418023619</v>
      </c>
      <c r="T188" s="113">
        <v>20.753484748828104</v>
      </c>
      <c r="U188" s="113">
        <v>8.9237807549879964</v>
      </c>
    </row>
    <row r="189" spans="1:21">
      <c r="A189" s="82">
        <v>752</v>
      </c>
      <c r="B189" s="80">
        <v>0.89464431750974549</v>
      </c>
      <c r="C189" s="81">
        <v>0.37636003958434694</v>
      </c>
      <c r="D189" s="81">
        <v>4.7261902059352627E-3</v>
      </c>
      <c r="F189" s="82">
        <v>752</v>
      </c>
      <c r="G189" s="80">
        <v>0.97585443171640374</v>
      </c>
      <c r="H189" s="81">
        <v>0.11990609224119243</v>
      </c>
      <c r="I189" s="81">
        <v>5.305985119439343E-3</v>
      </c>
      <c r="S189" s="113">
        <v>68.695224281153628</v>
      </c>
      <c r="T189" s="113">
        <v>22.029074109847745</v>
      </c>
      <c r="U189" s="113">
        <v>8.6750140444261259</v>
      </c>
    </row>
    <row r="190" spans="1:21">
      <c r="A190" s="82">
        <v>754</v>
      </c>
      <c r="B190" s="80">
        <v>0.89209879025065775</v>
      </c>
      <c r="C190" s="81">
        <v>0.38950500266128874</v>
      </c>
      <c r="D190" s="81">
        <v>4.151822075147138E-3</v>
      </c>
      <c r="F190" s="82">
        <v>754</v>
      </c>
      <c r="G190" s="80">
        <v>0.97611079565026571</v>
      </c>
      <c r="H190" s="81">
        <v>0.13000192326912974</v>
      </c>
      <c r="I190" s="81">
        <v>5.085312769252932E-3</v>
      </c>
      <c r="S190" s="113">
        <v>68.359651949157026</v>
      </c>
      <c r="T190" s="113">
        <v>23.30937860556385</v>
      </c>
      <c r="U190" s="113">
        <v>8.4109774546880622</v>
      </c>
    </row>
    <row r="191" spans="1:21">
      <c r="A191" s="82">
        <v>756</v>
      </c>
      <c r="B191" s="80">
        <v>0.89661025609832201</v>
      </c>
      <c r="C191" s="81">
        <v>0.40416137131239066</v>
      </c>
      <c r="D191" s="81">
        <v>4.201081031398303E-3</v>
      </c>
      <c r="F191" s="82">
        <v>756</v>
      </c>
      <c r="G191" s="80">
        <v>0.97534370654725233</v>
      </c>
      <c r="H191" s="81">
        <v>0.14125936718913409</v>
      </c>
      <c r="I191" s="81">
        <v>5.0732227690971233E-3</v>
      </c>
      <c r="S191" s="113">
        <v>68.319134829741756</v>
      </c>
      <c r="T191" s="113">
        <v>24.718972428484641</v>
      </c>
      <c r="U191" s="113">
        <v>8.2919294135957227</v>
      </c>
    </row>
    <row r="192" spans="1:21">
      <c r="A192" s="82">
        <v>758</v>
      </c>
      <c r="B192" s="80">
        <v>0.89767387185520819</v>
      </c>
      <c r="C192" s="81">
        <v>0.41607006510092132</v>
      </c>
      <c r="D192" s="81">
        <v>4.7042995336871538E-3</v>
      </c>
      <c r="F192" s="82">
        <v>758</v>
      </c>
      <c r="G192" s="80">
        <v>0.97355316440736328</v>
      </c>
      <c r="H192" s="81">
        <v>0.15351388959723009</v>
      </c>
      <c r="I192" s="81">
        <v>5.2592417438217546E-3</v>
      </c>
      <c r="S192" s="113">
        <v>68.387332747029774</v>
      </c>
      <c r="T192" s="113">
        <v>26.163765776073468</v>
      </c>
      <c r="U192" s="113">
        <v>8.2789852628757732</v>
      </c>
    </row>
    <row r="193" spans="1:21">
      <c r="A193" s="82">
        <v>760</v>
      </c>
      <c r="B193" s="80">
        <v>0.89560028929699975</v>
      </c>
      <c r="C193" s="81">
        <v>0.42782301278771206</v>
      </c>
      <c r="D193" s="81">
        <v>3.5124246076942366E-3</v>
      </c>
      <c r="F193" s="82">
        <v>760</v>
      </c>
      <c r="G193" s="80">
        <v>0.97176262226747423</v>
      </c>
      <c r="H193" s="81">
        <v>0.16646932856626168</v>
      </c>
      <c r="I193" s="81">
        <v>5.4286228342930298E-3</v>
      </c>
      <c r="S193" s="113">
        <v>68.587596389265073</v>
      </c>
      <c r="T193" s="113">
        <v>27.570277278098011</v>
      </c>
      <c r="U193" s="113">
        <v>8.3957528314278349</v>
      </c>
    </row>
    <row r="194" spans="1:21">
      <c r="A194" s="82">
        <v>762</v>
      </c>
      <c r="B194" s="80">
        <v>0.89357835844241551</v>
      </c>
      <c r="C194" s="81">
        <v>0.4402866756560142</v>
      </c>
      <c r="D194" s="81">
        <v>4.2898104319197715E-3</v>
      </c>
      <c r="F194" s="82">
        <v>762</v>
      </c>
      <c r="G194" s="80">
        <v>0.97306790403397747</v>
      </c>
      <c r="H194" s="81">
        <v>0.17978345253595993</v>
      </c>
      <c r="I194" s="81">
        <v>5.855405823890973E-3</v>
      </c>
      <c r="S194" s="113">
        <v>69.146325620255922</v>
      </c>
      <c r="T194" s="113">
        <v>29.12891689196212</v>
      </c>
      <c r="U194" s="113">
        <v>8.7469324102130557</v>
      </c>
    </row>
    <row r="195" spans="1:21">
      <c r="A195" s="82">
        <v>764</v>
      </c>
      <c r="B195" s="80">
        <v>0.89594186881558846</v>
      </c>
      <c r="C195" s="81">
        <v>0.44956476123031036</v>
      </c>
      <c r="D195" s="81">
        <v>4.6450345429666631E-3</v>
      </c>
      <c r="F195" s="82">
        <v>764</v>
      </c>
      <c r="G195" s="80">
        <v>0.9743731858004806</v>
      </c>
      <c r="H195" s="81">
        <v>0.19346613357056336</v>
      </c>
      <c r="I195" s="81">
        <v>6.2733833581469526E-3</v>
      </c>
      <c r="S195" s="113">
        <v>69.318190627851465</v>
      </c>
      <c r="T195" s="113">
        <v>30.486405335349676</v>
      </c>
      <c r="U195" s="113">
        <v>9.2138683194060729</v>
      </c>
    </row>
    <row r="196" spans="1:21">
      <c r="A196" s="82">
        <v>766</v>
      </c>
      <c r="B196" s="80">
        <v>0.89581847424031447</v>
      </c>
      <c r="C196" s="81">
        <v>0.46014725995622174</v>
      </c>
      <c r="D196" s="81">
        <v>4.4815070685712355E-3</v>
      </c>
      <c r="F196" s="82">
        <v>766</v>
      </c>
      <c r="G196" s="80">
        <v>0.97268803033896289</v>
      </c>
      <c r="H196" s="81">
        <v>0.20742523240384561</v>
      </c>
      <c r="I196" s="81">
        <v>7.2191414887133286E-3</v>
      </c>
      <c r="S196" s="113">
        <v>70.299501680159693</v>
      </c>
      <c r="T196" s="113">
        <v>32.08520048460786</v>
      </c>
      <c r="U196" s="113">
        <v>9.7993871187904098</v>
      </c>
    </row>
    <row r="197" spans="1:21">
      <c r="A197" s="82">
        <v>768</v>
      </c>
      <c r="B197" s="80">
        <v>0.89709471822967379</v>
      </c>
      <c r="C197" s="81">
        <v>0.47002377955843883</v>
      </c>
      <c r="D197" s="81">
        <v>5.1899086017962925E-3</v>
      </c>
      <c r="F197" s="82">
        <v>768</v>
      </c>
      <c r="G197" s="80">
        <v>0.96801243764942413</v>
      </c>
      <c r="H197" s="81">
        <v>0.22154557495302379</v>
      </c>
      <c r="I197" s="81">
        <v>8.690053913167177E-3</v>
      </c>
      <c r="S197" s="113">
        <v>71.406064996452002</v>
      </c>
      <c r="T197" s="113">
        <v>33.750524372497587</v>
      </c>
      <c r="U197" s="113">
        <v>10.738932058748118</v>
      </c>
    </row>
    <row r="198" spans="1:21">
      <c r="A198" s="82">
        <v>770</v>
      </c>
      <c r="B198" s="80">
        <v>0.8991893806944915</v>
      </c>
      <c r="C198" s="81">
        <v>0.48230606822090571</v>
      </c>
      <c r="D198" s="81">
        <v>8.3528833317737632E-3</v>
      </c>
      <c r="F198" s="82">
        <v>770</v>
      </c>
      <c r="G198" s="80">
        <v>0.96333684495988536</v>
      </c>
      <c r="H198" s="81">
        <v>0.23569224300683814</v>
      </c>
      <c r="I198" s="81">
        <v>1.0137799836326018E-2</v>
      </c>
      <c r="S198" s="113">
        <v>72.409136377835566</v>
      </c>
      <c r="T198" s="113">
        <v>35.070066038462592</v>
      </c>
      <c r="U198" s="113">
        <v>11.82852827660391</v>
      </c>
    </row>
    <row r="199" spans="1:21">
      <c r="A199" s="82">
        <v>772</v>
      </c>
      <c r="B199" s="80">
        <v>0.89742960398804927</v>
      </c>
      <c r="C199" s="81">
        <v>0.49147339529903056</v>
      </c>
      <c r="D199" s="81">
        <v>8.0774405370638153E-3</v>
      </c>
      <c r="F199" s="82">
        <v>772</v>
      </c>
      <c r="G199" s="80">
        <v>0.94990980959519045</v>
      </c>
      <c r="H199" s="81">
        <v>0.24958881876660965</v>
      </c>
      <c r="I199" s="81">
        <v>1.3995373034476661E-2</v>
      </c>
      <c r="S199" s="113">
        <v>73.939034957994778</v>
      </c>
      <c r="T199" s="113">
        <v>36.756124998516931</v>
      </c>
      <c r="U199" s="113">
        <v>13.309793068328677</v>
      </c>
    </row>
    <row r="200" spans="1:21">
      <c r="A200" s="82">
        <v>774</v>
      </c>
      <c r="B200" s="80">
        <v>0.89746888657198864</v>
      </c>
      <c r="C200" s="81">
        <v>0.50540140967228375</v>
      </c>
      <c r="D200" s="81">
        <v>1.2744800797255514E-2</v>
      </c>
      <c r="F200" s="82">
        <v>774</v>
      </c>
      <c r="G200" s="80">
        <v>0.93648277423049542</v>
      </c>
      <c r="H200" s="81">
        <v>0.26343603420518863</v>
      </c>
      <c r="I200" s="81">
        <v>1.767435295868227E-2</v>
      </c>
      <c r="S200" s="113">
        <v>75.335776846814198</v>
      </c>
      <c r="T200" s="113">
        <v>38.241794384130543</v>
      </c>
      <c r="U200" s="113">
        <v>15.157317032745354</v>
      </c>
    </row>
    <row r="201" spans="1:21">
      <c r="A201" s="82">
        <v>776</v>
      </c>
      <c r="B201" s="80">
        <v>0.89845502477343842</v>
      </c>
      <c r="C201" s="81">
        <v>0.51796932513687499</v>
      </c>
      <c r="D201" s="81">
        <v>1.8929419964024152E-2</v>
      </c>
      <c r="F201" s="82">
        <v>776</v>
      </c>
      <c r="G201" s="80">
        <v>0.92827409525869442</v>
      </c>
      <c r="H201" s="81">
        <v>0.27730299377224454</v>
      </c>
      <c r="I201" s="81">
        <v>2.3343755198632212E-2</v>
      </c>
      <c r="S201" s="113">
        <v>76.764993131890606</v>
      </c>
      <c r="T201" s="113">
        <v>39.73895148779264</v>
      </c>
      <c r="U201" s="113">
        <v>17.269118905531194</v>
      </c>
    </row>
    <row r="202" spans="1:21">
      <c r="A202" s="82">
        <v>778</v>
      </c>
      <c r="B202" s="80">
        <v>0.89658251209365702</v>
      </c>
      <c r="C202" s="81">
        <v>0.52813334025714009</v>
      </c>
      <c r="D202" s="81">
        <v>2.9884949982879001E-2</v>
      </c>
      <c r="F202" s="82">
        <v>778</v>
      </c>
      <c r="G202" s="80">
        <v>0.92528377267978745</v>
      </c>
      <c r="H202" s="81">
        <v>0.29123905778897019</v>
      </c>
      <c r="I202" s="81">
        <v>3.0900682913646789E-2</v>
      </c>
      <c r="S202" s="113">
        <v>78.617660261111283</v>
      </c>
      <c r="T202" s="113">
        <v>41.377928506575195</v>
      </c>
      <c r="U202" s="113">
        <v>20.000916144933022</v>
      </c>
    </row>
    <row r="203" spans="1:21">
      <c r="A203" s="82">
        <v>780</v>
      </c>
      <c r="B203" s="80">
        <v>0.89614771430137574</v>
      </c>
      <c r="C203" s="81">
        <v>0.53907797437680005</v>
      </c>
      <c r="D203" s="81">
        <v>3.274015016645216E-2</v>
      </c>
      <c r="F203" s="82">
        <v>780</v>
      </c>
      <c r="G203" s="80">
        <v>0.92229345010088049</v>
      </c>
      <c r="H203" s="81">
        <v>0.3053067493288763</v>
      </c>
      <c r="I203" s="81">
        <v>3.8159518145814302E-2</v>
      </c>
      <c r="S203" s="113">
        <v>80.132192701533967</v>
      </c>
      <c r="T203" s="113">
        <v>42.663617431772387</v>
      </c>
      <c r="U203" s="113">
        <v>23.206056059860472</v>
      </c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4"/>
  <dimension ref="A1:C202"/>
  <sheetViews>
    <sheetView workbookViewId="0">
      <pane ySplit="3" topLeftCell="A4" activePane="bottomLeft" state="frozen"/>
      <selection pane="bottomLeft" activeCell="J9" sqref="J9"/>
    </sheetView>
  </sheetViews>
  <sheetFormatPr defaultColWidth="9" defaultRowHeight="16.5"/>
  <cols>
    <col min="1" max="16384" width="9" style="4"/>
  </cols>
  <sheetData>
    <row r="1" spans="1:3">
      <c r="A1" s="11" t="s">
        <v>11</v>
      </c>
      <c r="B1" s="11" t="s">
        <v>17</v>
      </c>
      <c r="C1" s="11" t="s">
        <v>12</v>
      </c>
    </row>
    <row r="2" spans="1:3">
      <c r="A2" s="6">
        <v>1.3680000000000001E-3</v>
      </c>
      <c r="B2" s="6">
        <v>3.8999999999999999E-5</v>
      </c>
      <c r="C2" s="6">
        <v>6.4500010000000003E-3</v>
      </c>
    </row>
    <row r="3" spans="1:3">
      <c r="A3" s="6">
        <v>1.642328E-3</v>
      </c>
      <c r="B3" s="6">
        <v>4.69146E-5</v>
      </c>
      <c r="C3" s="6">
        <v>7.745488E-3</v>
      </c>
    </row>
    <row r="4" spans="1:3">
      <c r="A4" s="6">
        <v>1.9957569999999999E-3</v>
      </c>
      <c r="B4" s="6">
        <v>5.7176399999999997E-5</v>
      </c>
      <c r="C4" s="6">
        <v>9.4145440000000004E-3</v>
      </c>
    </row>
    <row r="5" spans="1:3">
      <c r="A5" s="6">
        <v>2.5353849999999998E-3</v>
      </c>
      <c r="B5" s="6">
        <v>7.2344199999999998E-5</v>
      </c>
      <c r="C5" s="6">
        <v>1.19658E-2</v>
      </c>
    </row>
    <row r="6" spans="1:3">
      <c r="A6" s="6">
        <v>3.3008289999999999E-3</v>
      </c>
      <c r="B6" s="6">
        <v>9.35082E-5</v>
      </c>
      <c r="C6" s="6">
        <v>1.5588050000000001E-2</v>
      </c>
    </row>
    <row r="7" spans="1:3">
      <c r="A7" s="6">
        <v>4.2430000000000002E-3</v>
      </c>
      <c r="B7" s="6">
        <v>1.2E-4</v>
      </c>
      <c r="C7" s="6">
        <v>2.005001E-2</v>
      </c>
    </row>
    <row r="8" spans="1:3">
      <c r="A8" s="6">
        <v>5.3300480000000004E-3</v>
      </c>
      <c r="B8" s="6">
        <v>1.5149200000000001E-4</v>
      </c>
      <c r="C8" s="6">
        <v>2.520288E-2</v>
      </c>
    </row>
    <row r="9" spans="1:3">
      <c r="A9" s="6">
        <v>6.7411169999999996E-3</v>
      </c>
      <c r="B9" s="6">
        <v>1.9181600000000001E-4</v>
      </c>
      <c r="C9" s="6">
        <v>3.1897040000000002E-2</v>
      </c>
    </row>
    <row r="10" spans="1:3">
      <c r="A10" s="6">
        <v>8.7513729999999998E-3</v>
      </c>
      <c r="B10" s="6">
        <v>2.4690699999999999E-4</v>
      </c>
      <c r="C10" s="6">
        <v>4.1437710000000003E-2</v>
      </c>
    </row>
    <row r="11" spans="1:3">
      <c r="A11" s="6">
        <v>1.14217E-2</v>
      </c>
      <c r="B11" s="6">
        <v>3.1851999999999998E-4</v>
      </c>
      <c r="C11" s="6">
        <v>5.4119880000000002E-2</v>
      </c>
    </row>
    <row r="12" spans="1:3">
      <c r="A12" s="6">
        <v>1.431E-2</v>
      </c>
      <c r="B12" s="6">
        <v>3.9599999999999998E-4</v>
      </c>
      <c r="C12" s="6">
        <v>6.7850010000000002E-2</v>
      </c>
    </row>
    <row r="13" spans="1:3">
      <c r="A13" s="6">
        <v>1.714744E-2</v>
      </c>
      <c r="B13" s="6">
        <v>4.73024E-4</v>
      </c>
      <c r="C13" s="6">
        <v>8.1361559999999999E-2</v>
      </c>
    </row>
    <row r="14" spans="1:3">
      <c r="A14" s="6">
        <v>2.0748010000000001E-2</v>
      </c>
      <c r="B14" s="6">
        <v>5.72219E-4</v>
      </c>
      <c r="C14" s="6">
        <v>9.854048E-2</v>
      </c>
    </row>
    <row r="15" spans="1:3">
      <c r="A15" s="6">
        <v>2.6207359999999999E-2</v>
      </c>
      <c r="B15" s="6">
        <v>7.2455999999999996E-4</v>
      </c>
      <c r="C15" s="6">
        <v>0.1246133</v>
      </c>
    </row>
    <row r="16" spans="1:3">
      <c r="A16" s="6">
        <v>3.3880920000000002E-2</v>
      </c>
      <c r="B16" s="6">
        <v>9.4116000000000002E-4</v>
      </c>
      <c r="C16" s="6">
        <v>0.16130349999999999</v>
      </c>
    </row>
    <row r="17" spans="1:3">
      <c r="A17" s="6">
        <v>4.351E-2</v>
      </c>
      <c r="B17" s="6">
        <v>1.2099999999999999E-3</v>
      </c>
      <c r="C17" s="6">
        <v>0.2074</v>
      </c>
    </row>
    <row r="18" spans="1:3">
      <c r="A18" s="6">
        <v>5.5022599999999998E-2</v>
      </c>
      <c r="B18" s="6">
        <v>1.530752E-3</v>
      </c>
      <c r="C18" s="6">
        <v>0.26261139999999999</v>
      </c>
    </row>
    <row r="19" spans="1:3">
      <c r="A19" s="6">
        <v>6.9211999999999996E-2</v>
      </c>
      <c r="B19" s="6">
        <v>1.9353230000000001E-3</v>
      </c>
      <c r="C19" s="6">
        <v>0.3307985</v>
      </c>
    </row>
    <row r="20" spans="1:3">
      <c r="A20" s="6">
        <v>8.6958110000000005E-2</v>
      </c>
      <c r="B20" s="6">
        <v>2.4548E-3</v>
      </c>
      <c r="C20" s="6">
        <v>0.4162091</v>
      </c>
    </row>
    <row r="21" spans="1:3">
      <c r="A21" s="6">
        <v>0.1084063</v>
      </c>
      <c r="B21" s="6">
        <v>3.1178E-3</v>
      </c>
      <c r="C21" s="6">
        <v>0.51969480000000001</v>
      </c>
    </row>
    <row r="22" spans="1:3">
      <c r="A22" s="6">
        <v>0.13438</v>
      </c>
      <c r="B22" s="6">
        <v>4.0000000000000001E-3</v>
      </c>
      <c r="C22" s="6">
        <v>0.64559999999999995</v>
      </c>
    </row>
    <row r="23" spans="1:3">
      <c r="A23" s="6">
        <v>0.16539570000000001</v>
      </c>
      <c r="B23" s="6">
        <v>5.1593200000000002E-3</v>
      </c>
      <c r="C23" s="6">
        <v>0.79671329999999996</v>
      </c>
    </row>
    <row r="24" spans="1:3">
      <c r="A24" s="6">
        <v>0.19861100000000001</v>
      </c>
      <c r="B24" s="6">
        <v>6.5461599999999997E-3</v>
      </c>
      <c r="C24" s="6">
        <v>0.95943900000000004</v>
      </c>
    </row>
    <row r="25" spans="1:3">
      <c r="A25" s="6">
        <v>0.2301868</v>
      </c>
      <c r="B25" s="6">
        <v>8.0865069999999997E-3</v>
      </c>
      <c r="C25" s="6">
        <v>1.1153673</v>
      </c>
    </row>
    <row r="26" spans="1:3">
      <c r="A26" s="6">
        <v>0.25877729999999999</v>
      </c>
      <c r="B26" s="6">
        <v>9.7676800000000008E-3</v>
      </c>
      <c r="C26" s="6">
        <v>1.2581233000000001</v>
      </c>
    </row>
    <row r="27" spans="1:3">
      <c r="A27" s="6">
        <v>0.28389999999999999</v>
      </c>
      <c r="B27" s="6">
        <v>1.1599999999999999E-2</v>
      </c>
      <c r="C27" s="6">
        <v>1.3855999999999999</v>
      </c>
    </row>
    <row r="28" spans="1:3">
      <c r="A28" s="6">
        <v>0.30489650000000001</v>
      </c>
      <c r="B28" s="6">
        <v>1.358272E-2</v>
      </c>
      <c r="C28" s="6">
        <v>1.4948035</v>
      </c>
    </row>
    <row r="29" spans="1:3">
      <c r="A29" s="6">
        <v>0.32164540000000003</v>
      </c>
      <c r="B29" s="6">
        <v>1.5715090000000001E-2</v>
      </c>
      <c r="C29" s="6">
        <v>1.5848807</v>
      </c>
    </row>
    <row r="30" spans="1:3">
      <c r="A30" s="6">
        <v>0.33435130000000002</v>
      </c>
      <c r="B30" s="6">
        <v>1.800736E-2</v>
      </c>
      <c r="C30" s="6">
        <v>1.6564048</v>
      </c>
    </row>
    <row r="31" spans="1:3">
      <c r="A31" s="6">
        <v>0.34312130000000002</v>
      </c>
      <c r="B31" s="6">
        <v>2.045392E-2</v>
      </c>
      <c r="C31" s="6">
        <v>1.7098745</v>
      </c>
    </row>
    <row r="32" spans="1:3">
      <c r="A32" s="6">
        <v>0.34827999999999998</v>
      </c>
      <c r="B32" s="6">
        <v>2.3E-2</v>
      </c>
      <c r="C32" s="6">
        <v>1.7470600000000001</v>
      </c>
    </row>
    <row r="33" spans="1:3">
      <c r="A33" s="6">
        <v>0.3501474</v>
      </c>
      <c r="B33" s="6">
        <v>2.5610239999999999E-2</v>
      </c>
      <c r="C33" s="6">
        <v>1.7696232999999999</v>
      </c>
    </row>
    <row r="34" spans="1:3">
      <c r="A34" s="6">
        <v>0.34928700000000001</v>
      </c>
      <c r="B34" s="6">
        <v>2.8351250000000001E-2</v>
      </c>
      <c r="C34" s="6">
        <v>1.7804333999999999</v>
      </c>
    </row>
    <row r="35" spans="1:3">
      <c r="A35" s="6">
        <v>0.3463733</v>
      </c>
      <c r="B35" s="6">
        <v>3.1310829999999998E-2</v>
      </c>
      <c r="C35" s="6">
        <v>1.7829682</v>
      </c>
    </row>
    <row r="36" spans="1:3">
      <c r="A36" s="6">
        <v>0.34180880000000002</v>
      </c>
      <c r="B36" s="6">
        <v>3.4521120000000002E-2</v>
      </c>
      <c r="C36" s="6">
        <v>1.7791982</v>
      </c>
    </row>
    <row r="37" spans="1:3">
      <c r="A37" s="6">
        <v>0.3362</v>
      </c>
      <c r="B37" s="6">
        <v>3.7999999999999999E-2</v>
      </c>
      <c r="C37" s="6">
        <v>1.7721100000000001</v>
      </c>
    </row>
    <row r="38" spans="1:3">
      <c r="A38" s="6">
        <v>0.33004109999999998</v>
      </c>
      <c r="B38" s="6">
        <v>4.1768E-2</v>
      </c>
      <c r="C38" s="6">
        <v>1.7640389999999999</v>
      </c>
    </row>
    <row r="39" spans="1:3">
      <c r="A39" s="6">
        <v>0.32288679999999997</v>
      </c>
      <c r="B39" s="6">
        <v>4.5842670000000002E-2</v>
      </c>
      <c r="C39" s="6">
        <v>1.7524663</v>
      </c>
    </row>
    <row r="40" spans="1:3">
      <c r="A40" s="6">
        <v>0.3140251</v>
      </c>
      <c r="B40" s="6">
        <v>5.0243679999999999E-2</v>
      </c>
      <c r="C40" s="6">
        <v>1.7335594999999999</v>
      </c>
    </row>
    <row r="41" spans="1:3">
      <c r="A41" s="6">
        <v>0.30329040000000002</v>
      </c>
      <c r="B41" s="6">
        <v>5.4980559999999998E-2</v>
      </c>
      <c r="C41" s="6">
        <v>1.7059369</v>
      </c>
    </row>
    <row r="42" spans="1:3">
      <c r="A42" s="6">
        <v>0.2908</v>
      </c>
      <c r="B42" s="6">
        <v>0.06</v>
      </c>
      <c r="C42" s="6">
        <v>1.6692</v>
      </c>
    </row>
    <row r="43" spans="1:3">
      <c r="A43" s="6">
        <v>0.27672140000000001</v>
      </c>
      <c r="B43" s="6">
        <v>6.5277520000000006E-2</v>
      </c>
      <c r="C43" s="6">
        <v>1.6234127</v>
      </c>
    </row>
    <row r="44" spans="1:3">
      <c r="A44" s="6">
        <v>0.26042270000000001</v>
      </c>
      <c r="B44" s="6">
        <v>7.0911089999999996E-2</v>
      </c>
      <c r="C44" s="6">
        <v>1.5645279999999999</v>
      </c>
    </row>
    <row r="45" spans="1:3">
      <c r="A45" s="6">
        <v>0.24084749999999999</v>
      </c>
      <c r="B45" s="6">
        <v>7.7016000000000001E-2</v>
      </c>
      <c r="C45" s="6">
        <v>1.4861114</v>
      </c>
    </row>
    <row r="46" spans="1:3">
      <c r="A46" s="6">
        <v>0.2184072</v>
      </c>
      <c r="B46" s="6">
        <v>8.36668E-2</v>
      </c>
      <c r="C46" s="6">
        <v>1.3898798999999999</v>
      </c>
    </row>
    <row r="47" spans="1:3">
      <c r="A47" s="6">
        <v>0.19536000000000001</v>
      </c>
      <c r="B47" s="6">
        <v>9.0980000000000005E-2</v>
      </c>
      <c r="C47" s="6">
        <v>1.2876399999999999</v>
      </c>
    </row>
    <row r="48" spans="1:3">
      <c r="A48" s="6">
        <v>0.17332729999999999</v>
      </c>
      <c r="B48" s="6">
        <v>9.9045839999999996E-2</v>
      </c>
      <c r="C48" s="6">
        <v>1.1878242999999999</v>
      </c>
    </row>
    <row r="49" spans="1:3">
      <c r="A49" s="6">
        <v>0.15228330000000001</v>
      </c>
      <c r="B49" s="6">
        <v>0.1078846</v>
      </c>
      <c r="C49" s="6">
        <v>1.0901479999999999</v>
      </c>
    </row>
    <row r="50" spans="1:3">
      <c r="A50" s="6">
        <v>0.13217860000000001</v>
      </c>
      <c r="B50" s="6">
        <v>0.117532</v>
      </c>
      <c r="C50" s="6">
        <v>0.99419760000000001</v>
      </c>
    </row>
    <row r="51" spans="1:3">
      <c r="A51" s="6">
        <v>0.11327520000000001</v>
      </c>
      <c r="B51" s="6">
        <v>0.12799279999999999</v>
      </c>
      <c r="C51" s="6">
        <v>0.90145310000000001</v>
      </c>
    </row>
    <row r="52" spans="1:3">
      <c r="A52" s="6">
        <v>9.5640000000000003E-2</v>
      </c>
      <c r="B52" s="6">
        <v>0.13902</v>
      </c>
      <c r="C52" s="6">
        <v>0.81295010000000001</v>
      </c>
    </row>
    <row r="53" spans="1:3">
      <c r="A53" s="6">
        <v>7.9308039999999996E-2</v>
      </c>
      <c r="B53" s="6">
        <v>0.1504693</v>
      </c>
      <c r="C53" s="6">
        <v>0.7294448</v>
      </c>
    </row>
    <row r="54" spans="1:3">
      <c r="A54" s="6">
        <v>6.4580990000000005E-2</v>
      </c>
      <c r="B54" s="6">
        <v>0.16271769999999999</v>
      </c>
      <c r="C54" s="6">
        <v>0.65210489999999999</v>
      </c>
    </row>
    <row r="55" spans="1:3">
      <c r="A55" s="6">
        <v>5.1862110000000003E-2</v>
      </c>
      <c r="B55" s="6">
        <v>0.17624310000000001</v>
      </c>
      <c r="C55" s="6">
        <v>0.58232859999999997</v>
      </c>
    </row>
    <row r="56" spans="1:3">
      <c r="A56" s="6">
        <v>4.1150880000000001E-2</v>
      </c>
      <c r="B56" s="6">
        <v>0.19127350000000001</v>
      </c>
      <c r="C56" s="6">
        <v>0.52033759999999996</v>
      </c>
    </row>
    <row r="57" spans="1:3">
      <c r="A57" s="6">
        <v>3.2009999999999997E-2</v>
      </c>
      <c r="B57" s="6">
        <v>0.20802000000000001</v>
      </c>
      <c r="C57" s="6">
        <v>0.46517999999999998</v>
      </c>
    </row>
    <row r="58" spans="1:3">
      <c r="A58" s="6">
        <v>2.41444E-2</v>
      </c>
      <c r="B58" s="6">
        <v>0.22673450000000001</v>
      </c>
      <c r="C58" s="6">
        <v>0.41618359999999999</v>
      </c>
    </row>
    <row r="59" spans="1:3">
      <c r="A59" s="6">
        <v>1.7540400000000001E-2</v>
      </c>
      <c r="B59" s="6">
        <v>0.24748120000000001</v>
      </c>
      <c r="C59" s="6">
        <v>0.3729459</v>
      </c>
    </row>
    <row r="60" spans="1:3">
      <c r="A60" s="6">
        <v>1.216179E-2</v>
      </c>
      <c r="B60" s="6">
        <v>0.27018490000000001</v>
      </c>
      <c r="C60" s="6">
        <v>0.33485779999999998</v>
      </c>
    </row>
    <row r="61" spans="1:3">
      <c r="A61" s="6">
        <v>7.9672400000000004E-3</v>
      </c>
      <c r="B61" s="6">
        <v>0.29505049999999999</v>
      </c>
      <c r="C61" s="6">
        <v>0.30133749999999998</v>
      </c>
    </row>
    <row r="62" spans="1:3">
      <c r="A62" s="6">
        <v>4.8999999999999998E-3</v>
      </c>
      <c r="B62" s="6">
        <v>0.32300000000000001</v>
      </c>
      <c r="C62" s="6">
        <v>0.27200000000000002</v>
      </c>
    </row>
    <row r="63" spans="1:3">
      <c r="A63" s="6">
        <v>2.94532E-3</v>
      </c>
      <c r="B63" s="6">
        <v>0.3546858</v>
      </c>
      <c r="C63" s="6">
        <v>0.2464838</v>
      </c>
    </row>
    <row r="64" spans="1:3">
      <c r="A64" s="6">
        <v>2.2362929999999999E-3</v>
      </c>
      <c r="B64" s="6">
        <v>0.38928750000000001</v>
      </c>
      <c r="C64" s="6">
        <v>0.22345329999999999</v>
      </c>
    </row>
    <row r="65" spans="1:3">
      <c r="A65" s="6">
        <v>2.92552E-3</v>
      </c>
      <c r="B65" s="6">
        <v>0.42562990000000001</v>
      </c>
      <c r="C65" s="6">
        <v>0.20116919999999999</v>
      </c>
    </row>
    <row r="66" spans="1:3">
      <c r="A66" s="6">
        <v>5.17484E-3</v>
      </c>
      <c r="B66" s="6">
        <v>0.46339439999999998</v>
      </c>
      <c r="C66" s="6">
        <v>0.17922540000000001</v>
      </c>
    </row>
    <row r="67" spans="1:3">
      <c r="A67" s="6">
        <v>9.2999999999999992E-3</v>
      </c>
      <c r="B67" s="6">
        <v>0.503</v>
      </c>
      <c r="C67" s="6">
        <v>0.15820000000000001</v>
      </c>
    </row>
    <row r="68" spans="1:3">
      <c r="A68" s="6">
        <v>1.553588E-2</v>
      </c>
      <c r="B68" s="6">
        <v>0.544512</v>
      </c>
      <c r="C68" s="6">
        <v>0.13837579999999999</v>
      </c>
    </row>
    <row r="69" spans="1:3">
      <c r="A69" s="6">
        <v>2.399277E-2</v>
      </c>
      <c r="B69" s="6">
        <v>0.58696530000000002</v>
      </c>
      <c r="C69" s="6">
        <v>0.1200751</v>
      </c>
    </row>
    <row r="70" spans="1:3">
      <c r="A70" s="6">
        <v>3.4814850000000001E-2</v>
      </c>
      <c r="B70" s="6">
        <v>0.62934559999999995</v>
      </c>
      <c r="C70" s="6">
        <v>0.10390480000000001</v>
      </c>
    </row>
    <row r="71" spans="1:3">
      <c r="A71" s="6">
        <v>4.798504E-2</v>
      </c>
      <c r="B71" s="6">
        <v>0.6708752</v>
      </c>
      <c r="C71" s="6">
        <v>8.9982720000000002E-2</v>
      </c>
    </row>
    <row r="72" spans="1:3">
      <c r="A72" s="6">
        <v>6.3270000000000007E-2</v>
      </c>
      <c r="B72" s="6">
        <v>0.71</v>
      </c>
      <c r="C72" s="6">
        <v>7.8249990000000005E-2</v>
      </c>
    </row>
    <row r="73" spans="1:3">
      <c r="A73" s="6">
        <v>8.0462240000000004E-2</v>
      </c>
      <c r="B73" s="6">
        <v>0.7454636</v>
      </c>
      <c r="C73" s="6">
        <v>6.8678160000000002E-2</v>
      </c>
    </row>
    <row r="74" spans="1:3">
      <c r="A74" s="6">
        <v>9.9456450000000002E-2</v>
      </c>
      <c r="B74" s="6">
        <v>0.77783679999999999</v>
      </c>
      <c r="C74" s="6">
        <v>6.0788349999999998E-2</v>
      </c>
    </row>
    <row r="75" spans="1:3">
      <c r="A75" s="6">
        <v>0.12016739999999999</v>
      </c>
      <c r="B75" s="6">
        <v>0.80811040000000001</v>
      </c>
      <c r="C75" s="6">
        <v>5.3904349999999997E-2</v>
      </c>
    </row>
    <row r="76" spans="1:3">
      <c r="A76" s="6">
        <v>0.14236789999999999</v>
      </c>
      <c r="B76" s="6">
        <v>0.83630680000000002</v>
      </c>
      <c r="C76" s="6">
        <v>4.7752759999999998E-2</v>
      </c>
    </row>
    <row r="77" spans="1:3">
      <c r="A77" s="6">
        <v>0.16550000000000001</v>
      </c>
      <c r="B77" s="6">
        <v>0.86199999999999999</v>
      </c>
      <c r="C77" s="6">
        <v>4.2160000000000003E-2</v>
      </c>
    </row>
    <row r="78" spans="1:3">
      <c r="A78" s="6">
        <v>0.18914</v>
      </c>
      <c r="B78" s="6">
        <v>0.88496240000000004</v>
      </c>
      <c r="C78" s="6">
        <v>3.6935639999999999E-2</v>
      </c>
    </row>
    <row r="79" spans="1:3">
      <c r="A79" s="6">
        <v>0.21336579999999999</v>
      </c>
      <c r="B79" s="6">
        <v>0.9054432</v>
      </c>
      <c r="C79" s="6">
        <v>3.2088720000000001E-2</v>
      </c>
    </row>
    <row r="80" spans="1:3">
      <c r="A80" s="6">
        <v>0.2383209</v>
      </c>
      <c r="B80" s="6">
        <v>0.92373479999999997</v>
      </c>
      <c r="C80" s="6">
        <v>2.771181E-2</v>
      </c>
    </row>
    <row r="81" spans="1:3">
      <c r="A81" s="6">
        <v>0.26399220000000001</v>
      </c>
      <c r="B81" s="6">
        <v>0.93992260000000005</v>
      </c>
      <c r="C81" s="6">
        <v>2.3787160000000002E-2</v>
      </c>
    </row>
    <row r="82" spans="1:3">
      <c r="A82" s="6">
        <v>0.29039999999999999</v>
      </c>
      <c r="B82" s="6">
        <v>0.95399999999999996</v>
      </c>
      <c r="C82" s="6">
        <v>2.0299999999999999E-2</v>
      </c>
    </row>
    <row r="83" spans="1:3">
      <c r="A83" s="6">
        <v>0.31757259999999998</v>
      </c>
      <c r="B83" s="6">
        <v>0.96600739999999996</v>
      </c>
      <c r="C83" s="6">
        <v>1.724036E-2</v>
      </c>
    </row>
    <row r="84" spans="1:3">
      <c r="A84" s="6">
        <v>0.34548279999999998</v>
      </c>
      <c r="B84" s="6">
        <v>0.97602250000000002</v>
      </c>
      <c r="C84" s="6">
        <v>1.458461E-2</v>
      </c>
    </row>
    <row r="85" spans="1:3">
      <c r="A85" s="6">
        <v>0.37408390000000002</v>
      </c>
      <c r="B85" s="6">
        <v>0.98409239999999998</v>
      </c>
      <c r="C85" s="6">
        <v>1.2307230000000001E-2</v>
      </c>
    </row>
    <row r="86" spans="1:3">
      <c r="A86" s="6">
        <v>0.40337840000000003</v>
      </c>
      <c r="B86" s="6">
        <v>0.99031279999999999</v>
      </c>
      <c r="C86" s="6">
        <v>1.0377920000000001E-2</v>
      </c>
    </row>
    <row r="87" spans="1:3">
      <c r="A87" s="6">
        <v>0.4334499</v>
      </c>
      <c r="B87" s="6">
        <v>0.99495009999999995</v>
      </c>
      <c r="C87" s="6">
        <v>8.7499989999999996E-3</v>
      </c>
    </row>
    <row r="88" spans="1:3">
      <c r="A88" s="6">
        <v>0.46433600000000003</v>
      </c>
      <c r="B88" s="6">
        <v>0.99809829999999999</v>
      </c>
      <c r="C88" s="6">
        <v>7.3816000000000003E-3</v>
      </c>
    </row>
    <row r="89" spans="1:3">
      <c r="A89" s="6">
        <v>0.4959713</v>
      </c>
      <c r="B89" s="6">
        <v>0.99974819999999998</v>
      </c>
      <c r="C89" s="6">
        <v>6.2427999999999997E-3</v>
      </c>
    </row>
    <row r="90" spans="1:3">
      <c r="A90" s="6">
        <v>0.52829590000000004</v>
      </c>
      <c r="B90" s="6">
        <v>0.99985670000000004</v>
      </c>
      <c r="C90" s="6">
        <v>5.3036000000000003E-3</v>
      </c>
    </row>
    <row r="91" spans="1:3">
      <c r="A91" s="6">
        <v>0.56120939999999997</v>
      </c>
      <c r="B91" s="6">
        <v>0.99832549999999998</v>
      </c>
      <c r="C91" s="6">
        <v>4.5342000000000004E-3</v>
      </c>
    </row>
    <row r="92" spans="1:3">
      <c r="A92" s="6">
        <v>0.59450000000000003</v>
      </c>
      <c r="B92" s="6">
        <v>0.995</v>
      </c>
      <c r="C92" s="6">
        <v>3.8999999999999998E-3</v>
      </c>
    </row>
    <row r="93" spans="1:3">
      <c r="A93" s="6">
        <v>0.62797579999999997</v>
      </c>
      <c r="B93" s="6">
        <v>0.98974260000000003</v>
      </c>
      <c r="C93" s="6">
        <v>3.3706000000000001E-3</v>
      </c>
    </row>
    <row r="94" spans="1:3">
      <c r="A94" s="6">
        <v>0.66156970000000004</v>
      </c>
      <c r="B94" s="6">
        <v>0.98272409999999999</v>
      </c>
      <c r="C94" s="6">
        <v>2.9348E-3</v>
      </c>
    </row>
    <row r="95" spans="1:3">
      <c r="A95" s="6">
        <v>0.69523919999999995</v>
      </c>
      <c r="B95" s="6">
        <v>0.9740837</v>
      </c>
      <c r="C95" s="6">
        <v>2.5852000000000002E-3</v>
      </c>
    </row>
    <row r="96" spans="1:3">
      <c r="A96" s="6">
        <v>0.72882840000000004</v>
      </c>
      <c r="B96" s="6">
        <v>0.96385679999999996</v>
      </c>
      <c r="C96" s="6">
        <v>2.3094000000000001E-3</v>
      </c>
    </row>
    <row r="97" spans="1:3">
      <c r="A97" s="6">
        <v>0.7621</v>
      </c>
      <c r="B97" s="6">
        <v>0.95199999999999996</v>
      </c>
      <c r="C97" s="6">
        <v>2.0999999999999999E-3</v>
      </c>
    </row>
    <row r="98" spans="1:3">
      <c r="A98" s="6">
        <v>0.79482560000000002</v>
      </c>
      <c r="B98" s="6">
        <v>0.93849919999999998</v>
      </c>
      <c r="C98" s="6">
        <v>1.9482E-3</v>
      </c>
    </row>
    <row r="99" spans="1:3">
      <c r="A99" s="6">
        <v>0.82682480000000003</v>
      </c>
      <c r="B99" s="6">
        <v>0.92345759999999999</v>
      </c>
      <c r="C99" s="6">
        <v>1.8409329999999999E-3</v>
      </c>
    </row>
    <row r="100" spans="1:3">
      <c r="A100" s="6">
        <v>0.85793249999999999</v>
      </c>
      <c r="B100" s="6">
        <v>0.90700639999999999</v>
      </c>
      <c r="C100" s="6">
        <v>1.766267E-3</v>
      </c>
    </row>
    <row r="101" spans="1:3">
      <c r="A101" s="6">
        <v>0.88789439999999997</v>
      </c>
      <c r="B101" s="6">
        <v>0.88920480000000002</v>
      </c>
      <c r="C101" s="6">
        <v>1.7112E-3</v>
      </c>
    </row>
    <row r="102" spans="1:3">
      <c r="A102" s="6">
        <v>0.9163</v>
      </c>
      <c r="B102" s="6">
        <v>0.87</v>
      </c>
      <c r="C102" s="6">
        <v>1.6500009999999999E-3</v>
      </c>
    </row>
    <row r="103" spans="1:3">
      <c r="A103" s="6">
        <v>0.94279840000000004</v>
      </c>
      <c r="B103" s="6">
        <v>0.84939200000000004</v>
      </c>
      <c r="C103" s="6">
        <v>1.5644000000000001E-3</v>
      </c>
    </row>
    <row r="104" spans="1:3">
      <c r="A104" s="6">
        <v>0.96721789999999996</v>
      </c>
      <c r="B104" s="6">
        <v>0.82758129999999996</v>
      </c>
      <c r="C104" s="6">
        <v>1.4585329999999999E-3</v>
      </c>
    </row>
    <row r="105" spans="1:3">
      <c r="A105" s="6">
        <v>0.98938559999999998</v>
      </c>
      <c r="B105" s="6">
        <v>0.80479469999999997</v>
      </c>
      <c r="C105" s="6">
        <v>1.3366669999999999E-3</v>
      </c>
    </row>
    <row r="106" spans="1:3">
      <c r="A106" s="6">
        <v>1.0090892</v>
      </c>
      <c r="B106" s="6">
        <v>0.781192</v>
      </c>
      <c r="C106" s="6">
        <v>1.2049999999999999E-3</v>
      </c>
    </row>
    <row r="107" spans="1:3">
      <c r="A107" s="6">
        <v>1.0263</v>
      </c>
      <c r="B107" s="6">
        <v>0.75700000000000001</v>
      </c>
      <c r="C107" s="6">
        <v>1.1000000000000001E-3</v>
      </c>
    </row>
    <row r="108" spans="1:3">
      <c r="A108" s="6">
        <v>1.040986</v>
      </c>
      <c r="B108" s="6">
        <v>0.73242240000000003</v>
      </c>
      <c r="C108" s="6">
        <v>1.0494E-3</v>
      </c>
    </row>
    <row r="109" spans="1:3">
      <c r="A109" s="6">
        <v>1.0524667000000001</v>
      </c>
      <c r="B109" s="6">
        <v>0.70749649999999997</v>
      </c>
      <c r="C109" s="6">
        <v>1.0212000000000001E-3</v>
      </c>
    </row>
    <row r="110" spans="1:3">
      <c r="A110" s="6">
        <v>1.0597943999999999</v>
      </c>
      <c r="B110" s="6">
        <v>0.68221920000000003</v>
      </c>
      <c r="C110" s="6">
        <v>9.6864E-4</v>
      </c>
    </row>
    <row r="111" spans="1:3">
      <c r="A111" s="6">
        <v>1.0628067999999999</v>
      </c>
      <c r="B111" s="6">
        <v>0.65667439999999999</v>
      </c>
      <c r="C111" s="6">
        <v>8.8688000000000005E-4</v>
      </c>
    </row>
    <row r="112" spans="1:3">
      <c r="A112" s="6">
        <v>1.0622</v>
      </c>
      <c r="B112" s="6">
        <v>0.63100000000000001</v>
      </c>
      <c r="C112" s="6">
        <v>8.0000000000000004E-4</v>
      </c>
    </row>
    <row r="113" spans="1:3">
      <c r="A113" s="6">
        <v>1.0584435999999999</v>
      </c>
      <c r="B113" s="6">
        <v>0.60531440000000003</v>
      </c>
      <c r="C113" s="6">
        <v>7.2367999999999998E-4</v>
      </c>
    </row>
    <row r="114" spans="1:3">
      <c r="A114" s="6">
        <v>1.0509767999999999</v>
      </c>
      <c r="B114" s="6">
        <v>0.57963790000000004</v>
      </c>
      <c r="C114" s="6">
        <v>6.4543999999999995E-4</v>
      </c>
    </row>
    <row r="115" spans="1:3">
      <c r="A115" s="6">
        <v>1.0390368999999999</v>
      </c>
      <c r="B115" s="6">
        <v>0.55396109999999998</v>
      </c>
      <c r="C115" s="6">
        <v>5.4786699999999995E-4</v>
      </c>
    </row>
    <row r="116" spans="1:3">
      <c r="A116" s="6">
        <v>1.0226662</v>
      </c>
      <c r="B116" s="6">
        <v>0.52835279999999996</v>
      </c>
      <c r="C116" s="6">
        <v>4.3540000000000001E-4</v>
      </c>
    </row>
    <row r="117" spans="1:3">
      <c r="A117" s="6">
        <v>1.0025999999999999</v>
      </c>
      <c r="B117" s="6">
        <v>0.503</v>
      </c>
      <c r="C117" s="6">
        <v>3.4000000000000002E-4</v>
      </c>
    </row>
    <row r="118" spans="1:3">
      <c r="A118" s="6">
        <v>0.97933139999999996</v>
      </c>
      <c r="B118" s="6">
        <v>0.47803040000000002</v>
      </c>
      <c r="C118" s="6">
        <v>2.8316000000000002E-4</v>
      </c>
    </row>
    <row r="119" spans="1:3">
      <c r="A119" s="6">
        <v>0.95284789999999997</v>
      </c>
      <c r="B119" s="6">
        <v>0.45340320000000001</v>
      </c>
      <c r="C119" s="6">
        <v>2.5181299999999998E-4</v>
      </c>
    </row>
    <row r="120" spans="1:3">
      <c r="A120" s="6">
        <v>0.92319399999999996</v>
      </c>
      <c r="B120" s="6">
        <v>0.42908000000000002</v>
      </c>
      <c r="C120" s="6">
        <v>2.29547E-4</v>
      </c>
    </row>
    <row r="121" spans="1:3">
      <c r="A121" s="6">
        <v>0.89050200000000002</v>
      </c>
      <c r="B121" s="6">
        <v>0.405032</v>
      </c>
      <c r="C121" s="6">
        <v>2.1196E-4</v>
      </c>
    </row>
    <row r="122" spans="1:3">
      <c r="A122" s="6">
        <v>0.85444989999999998</v>
      </c>
      <c r="B122" s="6">
        <v>0.38100000000000001</v>
      </c>
      <c r="C122" s="6">
        <v>1.9000000000000001E-4</v>
      </c>
    </row>
    <row r="123" spans="1:3">
      <c r="A123" s="6">
        <v>0.81494599999999995</v>
      </c>
      <c r="B123" s="6">
        <v>0.35682720000000001</v>
      </c>
      <c r="C123" s="6">
        <v>1.5563999999999999E-4</v>
      </c>
    </row>
    <row r="124" spans="1:3">
      <c r="A124" s="6">
        <v>0.77295400000000003</v>
      </c>
      <c r="B124" s="6">
        <v>0.33281759999999999</v>
      </c>
      <c r="C124" s="6">
        <v>1.16853E-4</v>
      </c>
    </row>
    <row r="125" spans="1:3">
      <c r="A125" s="6">
        <v>0.7295836</v>
      </c>
      <c r="B125" s="6">
        <v>0.3093381</v>
      </c>
      <c r="C125" s="6">
        <v>8.6133300000000004E-5</v>
      </c>
    </row>
    <row r="126" spans="1:3">
      <c r="A126" s="6">
        <v>0.68560220000000005</v>
      </c>
      <c r="B126" s="6">
        <v>0.2865936</v>
      </c>
      <c r="C126" s="6">
        <v>6.4999999999999994E-5</v>
      </c>
    </row>
    <row r="127" spans="1:3">
      <c r="A127" s="6">
        <v>0.64239999999999997</v>
      </c>
      <c r="B127" s="6">
        <v>0.26500000000000001</v>
      </c>
      <c r="C127" s="6">
        <v>5.0000000000000002E-5</v>
      </c>
    </row>
    <row r="128" spans="1:3">
      <c r="A128" s="6">
        <v>0.60111380000000003</v>
      </c>
      <c r="B128" s="6">
        <v>0.24488960000000001</v>
      </c>
      <c r="C128" s="6">
        <v>3.9480000000000001E-5</v>
      </c>
    </row>
    <row r="129" spans="1:3">
      <c r="A129" s="6">
        <v>0.5613977</v>
      </c>
      <c r="B129" s="6">
        <v>0.2260528</v>
      </c>
      <c r="C129" s="6">
        <v>3.2639999999999999E-5</v>
      </c>
    </row>
    <row r="130" spans="1:3">
      <c r="A130" s="6">
        <v>0.52259949999999999</v>
      </c>
      <c r="B130" s="6">
        <v>0.2081616</v>
      </c>
      <c r="C130" s="6">
        <v>2.7653299999999998E-5</v>
      </c>
    </row>
    <row r="131" spans="1:3">
      <c r="A131" s="6">
        <v>0.4847436</v>
      </c>
      <c r="B131" s="6">
        <v>0.1911552</v>
      </c>
      <c r="C131" s="6">
        <v>2.3640000000000001E-5</v>
      </c>
    </row>
    <row r="132" spans="1:3">
      <c r="A132" s="6">
        <v>0.44790000000000002</v>
      </c>
      <c r="B132" s="6">
        <v>0.17499999999999999</v>
      </c>
      <c r="C132" s="6">
        <v>2.0000000000000002E-5</v>
      </c>
    </row>
    <row r="133" spans="1:3">
      <c r="A133" s="6">
        <v>0.41209800000000002</v>
      </c>
      <c r="B133" s="6">
        <v>0.15964639999999999</v>
      </c>
      <c r="C133" s="6">
        <v>1.6200000000000001E-5</v>
      </c>
    </row>
    <row r="134" spans="1:3">
      <c r="A134" s="6">
        <v>0.37753330000000002</v>
      </c>
      <c r="B134" s="6">
        <v>0.1451259</v>
      </c>
      <c r="C134" s="6">
        <v>1.21333E-5</v>
      </c>
    </row>
    <row r="135" spans="1:3">
      <c r="A135" s="6">
        <v>0.34445629999999999</v>
      </c>
      <c r="B135" s="6">
        <v>0.13150029999999999</v>
      </c>
      <c r="C135" s="6">
        <v>7.7333299999999997E-6</v>
      </c>
    </row>
    <row r="136" spans="1:3">
      <c r="A136" s="6">
        <v>0.3130192</v>
      </c>
      <c r="B136" s="6">
        <v>0.1187792</v>
      </c>
      <c r="C136" s="6">
        <v>3.1999999999999999E-6</v>
      </c>
    </row>
    <row r="137" spans="1:3">
      <c r="A137" s="6">
        <v>0.28349999999999997</v>
      </c>
      <c r="B137" s="6">
        <v>0.107</v>
      </c>
      <c r="C137" s="6">
        <v>0</v>
      </c>
    </row>
    <row r="138" spans="1:3">
      <c r="A138" s="6">
        <v>0.25611840000000002</v>
      </c>
      <c r="B138" s="6">
        <v>9.6188640000000006E-2</v>
      </c>
      <c r="C138" s="6">
        <v>0</v>
      </c>
    </row>
    <row r="139" spans="1:3">
      <c r="A139" s="6">
        <v>0.23072719999999999</v>
      </c>
      <c r="B139" s="6">
        <v>8.6264850000000004E-2</v>
      </c>
      <c r="C139" s="6">
        <v>0</v>
      </c>
    </row>
    <row r="140" spans="1:3">
      <c r="A140" s="6">
        <v>0.20709710000000001</v>
      </c>
      <c r="B140" s="6">
        <v>7.7120640000000004E-2</v>
      </c>
      <c r="C140" s="6">
        <v>0</v>
      </c>
    </row>
    <row r="141" spans="1:3">
      <c r="A141" s="6">
        <v>0.1851708</v>
      </c>
      <c r="B141" s="6">
        <v>6.8710080000000007E-2</v>
      </c>
      <c r="C141" s="6">
        <v>0</v>
      </c>
    </row>
    <row r="142" spans="1:3">
      <c r="A142" s="6">
        <v>0.16489999999999999</v>
      </c>
      <c r="B142" s="6">
        <v>6.0999999999999999E-2</v>
      </c>
      <c r="C142" s="6">
        <v>0</v>
      </c>
    </row>
    <row r="143" spans="1:3">
      <c r="A143" s="6">
        <v>0.14623</v>
      </c>
      <c r="B143" s="6">
        <v>5.3955040000000003E-2</v>
      </c>
      <c r="C143" s="6">
        <v>0</v>
      </c>
    </row>
    <row r="144" spans="1:3">
      <c r="A144" s="6">
        <v>0.1291467</v>
      </c>
      <c r="B144" s="6">
        <v>4.7549649999999999E-2</v>
      </c>
      <c r="C144" s="6">
        <v>0</v>
      </c>
    </row>
    <row r="145" spans="1:3">
      <c r="A145" s="6">
        <v>0.1136397</v>
      </c>
      <c r="B145" s="6">
        <v>4.1758719999999999E-2</v>
      </c>
      <c r="C145" s="6">
        <v>0</v>
      </c>
    </row>
    <row r="146" spans="1:3">
      <c r="A146" s="6">
        <v>9.9690440000000005E-2</v>
      </c>
      <c r="B146" s="6">
        <v>3.656384E-2</v>
      </c>
      <c r="C146" s="6">
        <v>0</v>
      </c>
    </row>
    <row r="147" spans="1:3">
      <c r="A147" s="6">
        <v>8.7400000000000005E-2</v>
      </c>
      <c r="B147" s="6">
        <v>3.2000000000000001E-2</v>
      </c>
      <c r="C147" s="6">
        <v>0</v>
      </c>
    </row>
    <row r="148" spans="1:3">
      <c r="A148" s="6">
        <v>7.6804280000000003E-2</v>
      </c>
      <c r="B148" s="6">
        <v>2.807664E-2</v>
      </c>
      <c r="C148" s="6">
        <v>0</v>
      </c>
    </row>
    <row r="149" spans="1:3">
      <c r="A149" s="6">
        <v>6.7686640000000006E-2</v>
      </c>
      <c r="B149" s="6">
        <v>2.4708049999999999E-2</v>
      </c>
      <c r="C149" s="6">
        <v>0</v>
      </c>
    </row>
    <row r="150" spans="1:3">
      <c r="A150" s="6">
        <v>5.9806850000000002E-2</v>
      </c>
      <c r="B150" s="6">
        <v>2.1800770000000001E-2</v>
      </c>
      <c r="C150" s="6">
        <v>0</v>
      </c>
    </row>
    <row r="151" spans="1:3">
      <c r="A151" s="6">
        <v>5.2971039999999997E-2</v>
      </c>
      <c r="B151" s="6">
        <v>1.9281079999999999E-2</v>
      </c>
      <c r="C151" s="6">
        <v>0</v>
      </c>
    </row>
    <row r="152" spans="1:3">
      <c r="A152" s="6">
        <v>4.6769999999999999E-2</v>
      </c>
      <c r="B152" s="6">
        <v>1.7000000000000001E-2</v>
      </c>
      <c r="C152" s="6">
        <v>0</v>
      </c>
    </row>
    <row r="153" spans="1:3">
      <c r="A153" s="6">
        <v>4.0875359999999999E-2</v>
      </c>
      <c r="B153" s="6">
        <v>1.483718E-2</v>
      </c>
      <c r="C153" s="6">
        <v>0</v>
      </c>
    </row>
    <row r="154" spans="1:3">
      <c r="A154" s="6">
        <v>3.5404610000000003E-2</v>
      </c>
      <c r="B154" s="6">
        <v>1.283478E-2</v>
      </c>
      <c r="C154" s="6">
        <v>0</v>
      </c>
    </row>
    <row r="155" spans="1:3">
      <c r="A155" s="6">
        <v>3.0564190000000001E-2</v>
      </c>
      <c r="B155" s="6">
        <v>1.106831E-2</v>
      </c>
      <c r="C155" s="6">
        <v>0</v>
      </c>
    </row>
    <row r="156" spans="1:3">
      <c r="A156" s="6">
        <v>2.6344840000000001E-2</v>
      </c>
      <c r="B156" s="6">
        <v>9.5333109999999992E-3</v>
      </c>
      <c r="C156" s="6">
        <v>0</v>
      </c>
    </row>
    <row r="157" spans="1:3">
      <c r="A157" s="6">
        <v>2.2700000000000001E-2</v>
      </c>
      <c r="B157" s="6">
        <v>8.2100000000000003E-3</v>
      </c>
      <c r="C157" s="6">
        <v>0</v>
      </c>
    </row>
    <row r="158" spans="1:3">
      <c r="A158" s="6">
        <v>1.959988E-2</v>
      </c>
      <c r="B158" s="6">
        <v>7.0854239999999999E-3</v>
      </c>
      <c r="C158" s="6">
        <v>0</v>
      </c>
    </row>
    <row r="159" spans="1:3">
      <c r="A159" s="6">
        <v>1.6987169999999999E-2</v>
      </c>
      <c r="B159" s="6">
        <v>6.1384849999999999E-3</v>
      </c>
      <c r="C159" s="6">
        <v>0</v>
      </c>
    </row>
    <row r="160" spans="1:3">
      <c r="A160" s="6">
        <v>1.4790640000000001E-2</v>
      </c>
      <c r="B160" s="6">
        <v>5.3430589999999998E-3</v>
      </c>
      <c r="C160" s="6">
        <v>0</v>
      </c>
    </row>
    <row r="161" spans="1:3">
      <c r="A161" s="6">
        <v>1.2948680000000001E-2</v>
      </c>
      <c r="B161" s="6">
        <v>4.6764040000000003E-3</v>
      </c>
      <c r="C161" s="6">
        <v>0</v>
      </c>
    </row>
    <row r="162" spans="1:3">
      <c r="A162" s="6">
        <v>1.135916E-2</v>
      </c>
      <c r="B162" s="6">
        <v>4.1019999999999997E-3</v>
      </c>
      <c r="C162" s="6">
        <v>0</v>
      </c>
    </row>
    <row r="163" spans="1:3">
      <c r="A163" s="6">
        <v>9.9388459999999994E-3</v>
      </c>
      <c r="B163" s="6">
        <v>3.5890990000000001E-3</v>
      </c>
      <c r="C163" s="6">
        <v>0</v>
      </c>
    </row>
    <row r="164" spans="1:3">
      <c r="A164" s="6">
        <v>8.6788539999999997E-3</v>
      </c>
      <c r="B164" s="6">
        <v>3.1340930000000001E-3</v>
      </c>
      <c r="C164" s="6">
        <v>0</v>
      </c>
    </row>
    <row r="165" spans="1:3">
      <c r="A165" s="6">
        <v>7.5823879999999998E-3</v>
      </c>
      <c r="B165" s="6">
        <v>2.7381390000000001E-3</v>
      </c>
      <c r="C165" s="6">
        <v>0</v>
      </c>
    </row>
    <row r="166" spans="1:3">
      <c r="A166" s="6">
        <v>6.6273130000000001E-3</v>
      </c>
      <c r="B166" s="6">
        <v>2.3932440000000001E-3</v>
      </c>
      <c r="C166" s="6">
        <v>0</v>
      </c>
    </row>
    <row r="167" spans="1:3">
      <c r="A167" s="6">
        <v>5.790346E-3</v>
      </c>
      <c r="B167" s="6">
        <v>2.091E-3</v>
      </c>
      <c r="C167" s="6">
        <v>0</v>
      </c>
    </row>
    <row r="168" spans="1:3">
      <c r="A168" s="6">
        <v>5.0525830000000002E-3</v>
      </c>
      <c r="B168" s="6">
        <v>1.8245799999999999E-3</v>
      </c>
      <c r="C168" s="6">
        <v>0</v>
      </c>
    </row>
    <row r="169" spans="1:3">
      <c r="A169" s="6">
        <v>4.4035070000000001E-3</v>
      </c>
      <c r="B169" s="6">
        <v>1.5901870000000001E-3</v>
      </c>
      <c r="C169" s="6">
        <v>0</v>
      </c>
    </row>
    <row r="170" spans="1:3">
      <c r="A170" s="6">
        <v>3.833913E-3</v>
      </c>
      <c r="B170" s="6">
        <v>1.384496E-3</v>
      </c>
      <c r="C170" s="6">
        <v>0</v>
      </c>
    </row>
    <row r="171" spans="1:3">
      <c r="A171" s="6">
        <v>3.3343420000000001E-3</v>
      </c>
      <c r="B171" s="6">
        <v>1.2040919999999999E-3</v>
      </c>
      <c r="C171" s="6">
        <v>0</v>
      </c>
    </row>
    <row r="172" spans="1:3">
      <c r="A172" s="6">
        <v>2.8993270000000002E-3</v>
      </c>
      <c r="B172" s="6">
        <v>1.047E-3</v>
      </c>
      <c r="C172" s="6">
        <v>0</v>
      </c>
    </row>
    <row r="173" spans="1:3">
      <c r="A173" s="6">
        <v>2.52302E-3</v>
      </c>
      <c r="B173" s="6">
        <v>9.1110900000000001E-4</v>
      </c>
      <c r="C173" s="6">
        <v>0</v>
      </c>
    </row>
    <row r="174" spans="1:3">
      <c r="A174" s="6">
        <v>2.1966160000000002E-3</v>
      </c>
      <c r="B174" s="6">
        <v>7.9323800000000004E-4</v>
      </c>
      <c r="C174" s="6">
        <v>0</v>
      </c>
    </row>
    <row r="175" spans="1:3">
      <c r="A175" s="6">
        <v>1.91096E-3</v>
      </c>
      <c r="B175" s="6">
        <v>6.9008299999999997E-4</v>
      </c>
      <c r="C175" s="6">
        <v>0</v>
      </c>
    </row>
    <row r="176" spans="1:3">
      <c r="A176" s="6">
        <v>1.66011E-3</v>
      </c>
      <c r="B176" s="6">
        <v>5.9949600000000003E-4</v>
      </c>
      <c r="C176" s="6">
        <v>0</v>
      </c>
    </row>
    <row r="177" spans="1:3">
      <c r="A177" s="6">
        <v>1.439971E-3</v>
      </c>
      <c r="B177" s="6">
        <v>5.1999999999999995E-4</v>
      </c>
      <c r="C177" s="6">
        <v>0</v>
      </c>
    </row>
    <row r="178" spans="1:3">
      <c r="A178" s="6">
        <v>1.246275E-3</v>
      </c>
      <c r="B178" s="6">
        <v>4.5005300000000001E-4</v>
      </c>
      <c r="C178" s="6">
        <v>0</v>
      </c>
    </row>
    <row r="179" spans="1:3">
      <c r="A179" s="6">
        <v>1.07643E-3</v>
      </c>
      <c r="B179" s="6">
        <v>3.8871799999999997E-4</v>
      </c>
      <c r="C179" s="6">
        <v>0</v>
      </c>
    </row>
    <row r="180" spans="1:3">
      <c r="A180" s="6">
        <v>9.2873599999999999E-4</v>
      </c>
      <c r="B180" s="6">
        <v>3.3538399999999999E-4</v>
      </c>
      <c r="C180" s="6">
        <v>0</v>
      </c>
    </row>
    <row r="181" spans="1:3">
      <c r="A181" s="6">
        <v>8.0075000000000003E-4</v>
      </c>
      <c r="B181" s="6">
        <v>2.8916599999999999E-4</v>
      </c>
      <c r="C181" s="6">
        <v>0</v>
      </c>
    </row>
    <row r="182" spans="1:3">
      <c r="A182" s="6">
        <v>6.9007900000000002E-4</v>
      </c>
      <c r="B182" s="6">
        <v>2.4919999999999999E-4</v>
      </c>
      <c r="C182" s="6">
        <v>0</v>
      </c>
    </row>
    <row r="183" spans="1:3">
      <c r="A183" s="6">
        <v>5.9450200000000001E-4</v>
      </c>
      <c r="B183" s="6">
        <v>2.1468600000000001E-4</v>
      </c>
      <c r="C183" s="6">
        <v>0</v>
      </c>
    </row>
    <row r="184" spans="1:3">
      <c r="A184" s="6">
        <v>5.1242900000000001E-4</v>
      </c>
      <c r="B184" s="6">
        <v>1.8504799999999999E-4</v>
      </c>
      <c r="C184" s="6">
        <v>0</v>
      </c>
    </row>
    <row r="185" spans="1:3">
      <c r="A185" s="6">
        <v>4.42454E-4</v>
      </c>
      <c r="B185" s="6">
        <v>1.5977799999999999E-4</v>
      </c>
      <c r="C185" s="6">
        <v>0</v>
      </c>
    </row>
    <row r="186" spans="1:3">
      <c r="A186" s="6">
        <v>3.8298100000000001E-4</v>
      </c>
      <c r="B186" s="6">
        <v>1.3830200000000001E-4</v>
      </c>
      <c r="C186" s="6">
        <v>0</v>
      </c>
    </row>
    <row r="187" spans="1:3">
      <c r="A187" s="6">
        <v>3.3230100000000002E-4</v>
      </c>
      <c r="B187" s="6">
        <v>1.2E-4</v>
      </c>
      <c r="C187" s="6">
        <v>0</v>
      </c>
    </row>
    <row r="188" spans="1:3">
      <c r="A188" s="6">
        <v>2.8888699999999999E-4</v>
      </c>
      <c r="B188" s="6">
        <v>1.0432199999999999E-4</v>
      </c>
      <c r="C188" s="6">
        <v>0</v>
      </c>
    </row>
    <row r="189" spans="1:3">
      <c r="A189" s="6">
        <v>2.5156799999999997E-4</v>
      </c>
      <c r="B189" s="6">
        <v>9.0845899999999997E-5</v>
      </c>
      <c r="C189" s="6">
        <v>0</v>
      </c>
    </row>
    <row r="190" spans="1:3">
      <c r="A190" s="6">
        <v>2.1917099999999999E-4</v>
      </c>
      <c r="B190" s="6">
        <v>7.9146699999999999E-5</v>
      </c>
      <c r="C190" s="6">
        <v>0</v>
      </c>
    </row>
    <row r="191" spans="1:3">
      <c r="A191" s="6">
        <v>1.90841E-4</v>
      </c>
      <c r="B191" s="6">
        <v>6.8916000000000002E-5</v>
      </c>
      <c r="C191" s="6">
        <v>0</v>
      </c>
    </row>
    <row r="192" spans="1:3">
      <c r="A192" s="6">
        <v>1.6615099999999999E-4</v>
      </c>
      <c r="B192" s="6">
        <v>6.0000000000000002E-5</v>
      </c>
      <c r="C192" s="6">
        <v>0</v>
      </c>
    </row>
    <row r="193" spans="1:3">
      <c r="A193" s="6">
        <v>1.4462200000000001E-4</v>
      </c>
      <c r="B193" s="6">
        <v>5.2225599999999997E-5</v>
      </c>
      <c r="C193" s="6">
        <v>0</v>
      </c>
    </row>
    <row r="194" spans="1:3">
      <c r="A194" s="6">
        <v>1.25852E-4</v>
      </c>
      <c r="B194" s="6">
        <v>4.5447500000000002E-5</v>
      </c>
      <c r="C194" s="6">
        <v>0</v>
      </c>
    </row>
    <row r="195" spans="1:3">
      <c r="A195" s="6">
        <v>1.09552E-4</v>
      </c>
      <c r="B195" s="6">
        <v>3.9561000000000003E-5</v>
      </c>
      <c r="C195" s="6">
        <v>0</v>
      </c>
    </row>
    <row r="196" spans="1:3">
      <c r="A196" s="6">
        <v>9.5394499999999996E-5</v>
      </c>
      <c r="B196" s="6">
        <v>3.4448700000000001E-5</v>
      </c>
      <c r="C196" s="6">
        <v>0</v>
      </c>
    </row>
    <row r="197" spans="1:3">
      <c r="A197" s="6">
        <v>8.3075299999999994E-5</v>
      </c>
      <c r="B197" s="6">
        <v>3.0000000000000001E-5</v>
      </c>
      <c r="C197" s="6">
        <v>0</v>
      </c>
    </row>
    <row r="198" spans="1:3">
      <c r="A198" s="6">
        <v>7.2312999999999997E-5</v>
      </c>
      <c r="B198" s="6">
        <v>2.61136E-5</v>
      </c>
      <c r="C198" s="6">
        <v>0</v>
      </c>
    </row>
    <row r="199" spans="1:3">
      <c r="A199" s="6">
        <v>6.2928400000000006E-5</v>
      </c>
      <c r="B199" s="6">
        <v>2.2724599999999999E-5</v>
      </c>
      <c r="C199" s="6">
        <v>0</v>
      </c>
    </row>
    <row r="200" spans="1:3">
      <c r="A200" s="6">
        <v>5.47703E-5</v>
      </c>
      <c r="B200" s="6">
        <v>1.9778600000000001E-5</v>
      </c>
      <c r="C200" s="6">
        <v>0</v>
      </c>
    </row>
    <row r="201" spans="1:3">
      <c r="A201" s="6">
        <v>4.7676500000000003E-5</v>
      </c>
      <c r="B201" s="6">
        <v>1.7216900000000001E-5</v>
      </c>
      <c r="C201" s="6">
        <v>0</v>
      </c>
    </row>
    <row r="202" spans="1:3">
      <c r="A202" s="6">
        <v>4.15099E-5</v>
      </c>
      <c r="B202" s="6">
        <v>1.499E-5</v>
      </c>
      <c r="C202" s="6">
        <v>0</v>
      </c>
    </row>
  </sheetData>
  <phoneticPr fontId="3" type="noConversion"/>
  <pageMargins left="0.7" right="0.7" top="0.75" bottom="0.75" header="0.3" footer="0.3"/>
  <pageSetup paperSize="9" orientation="portrait" r:id="rId1"/>
  <headerFooter>
    <oddHeader>&amp;R&amp;B&amp;"Gill Sans MT"&amp;10&amp;K808080​‌Classify:AUO-General‌​</oddHeader>
    <oddFooter>&amp;R&amp;B&amp;"Gill Sans MT"&amp;10&amp;K808080​‌Classify:AUO-General‌​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HaHa</vt:lpstr>
      <vt:lpstr>ColorSpace</vt:lpstr>
      <vt:lpstr>Grayscale</vt:lpstr>
      <vt:lpstr>OpticalData</vt:lpstr>
      <vt:lpstr>Gamma</vt:lpstr>
      <vt:lpstr>RSpectrum</vt:lpstr>
      <vt:lpstr>GSpectrum</vt:lpstr>
      <vt:lpstr>BSpectrum</vt:lpstr>
      <vt:lpstr>Menu</vt:lpstr>
      <vt:lpstr>CFData</vt:lpstr>
      <vt:lpstr>CIE1931</vt:lpstr>
    </vt:vector>
  </TitlesOfParts>
  <Company>AUO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shanestcheng</dc:creator>
  <cp:keywords> [SEC=AUO-General]</cp:keywords>
  <cp:lastModifiedBy>Administrator</cp:lastModifiedBy>
  <dcterms:created xsi:type="dcterms:W3CDTF">2021-07-27T05:24:52Z</dcterms:created>
  <dcterms:modified xsi:type="dcterms:W3CDTF">2024-06-20T01:16:22Z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M_ProtectiveMarkingValue_Footer">
    <vt:lpwstr>Classify:AUO-General</vt:lpwstr>
  </property>
  <property fmtid="{D5CDD505-2E9C-101B-9397-08002B2CF9AE}" pid="3" name="PM_Caveats_Count">
    <vt:lpwstr>0</vt:lpwstr>
  </property>
  <property fmtid="{D5CDD505-2E9C-101B-9397-08002B2CF9AE}" pid="4" name="PM_Originator_Hash_SHA1">
    <vt:lpwstr>7241CD84E3C5849D92E446CA60BC70BF2A4368CD</vt:lpwstr>
  </property>
  <property fmtid="{D5CDD505-2E9C-101B-9397-08002B2CF9AE}" pid="5" name="PM_SecurityClassification">
    <vt:lpwstr>AUO-General</vt:lpwstr>
  </property>
  <property fmtid="{D5CDD505-2E9C-101B-9397-08002B2CF9AE}" pid="6" name="PM_DisplayValueSecClassificationWithQualifier">
    <vt:lpwstr>AUO-General</vt:lpwstr>
  </property>
  <property fmtid="{D5CDD505-2E9C-101B-9397-08002B2CF9AE}" pid="7" name="PM_Qualifier">
    <vt:lpwstr/>
  </property>
  <property fmtid="{D5CDD505-2E9C-101B-9397-08002B2CF9AE}" pid="8" name="PM_Hash_SHA1">
    <vt:lpwstr>D6F209187C36EC072C2414E8F39AFA71BB94271C</vt:lpwstr>
  </property>
  <property fmtid="{D5CDD505-2E9C-101B-9397-08002B2CF9AE}" pid="9" name="PM_ProtectiveMarkingImage_Header">
    <vt:lpwstr>C:\Program Files (x86)\Common Files\janusNET Shared\janusSEAL\Images\DocumentSlashBlue.png</vt:lpwstr>
  </property>
  <property fmtid="{D5CDD505-2E9C-101B-9397-08002B2CF9AE}" pid="10" name="PM_InsertionValue">
    <vt:lpwstr>AUO-General</vt:lpwstr>
  </property>
  <property fmtid="{D5CDD505-2E9C-101B-9397-08002B2CF9AE}" pid="11" name="PM_ProtectiveMarkingValue_Header">
    <vt:lpwstr>Classify:AUO-General</vt:lpwstr>
  </property>
  <property fmtid="{D5CDD505-2E9C-101B-9397-08002B2CF9AE}" pid="12" name="PM_ProtectiveMarkingImage_Footer">
    <vt:lpwstr>C:\Program Files (x86)\Common Files\janusNET Shared\janusSEAL\Images\DocumentSlashBlue.png</vt:lpwstr>
  </property>
  <property fmtid="{D5CDD505-2E9C-101B-9397-08002B2CF9AE}" pid="13" name="PM_Namespace">
    <vt:lpwstr>2016.1.auo.com</vt:lpwstr>
  </property>
  <property fmtid="{D5CDD505-2E9C-101B-9397-08002B2CF9AE}" pid="14" name="PM_Version">
    <vt:lpwstr>2005.6</vt:lpwstr>
  </property>
  <property fmtid="{D5CDD505-2E9C-101B-9397-08002B2CF9AE}" pid="15" name="PM_Originating_FileId">
    <vt:lpwstr>BED96571C16D457699A06AA01437B7EC</vt:lpwstr>
  </property>
  <property fmtid="{D5CDD505-2E9C-101B-9397-08002B2CF9AE}" pid="16" name="PM_OriginationTimeStamp">
    <vt:lpwstr>2021-11-08T02:11:11Z</vt:lpwstr>
  </property>
  <property fmtid="{D5CDD505-2E9C-101B-9397-08002B2CF9AE}" pid="17" name="PM_Hash_Version">
    <vt:lpwstr>2016.1</vt:lpwstr>
  </property>
  <property fmtid="{D5CDD505-2E9C-101B-9397-08002B2CF9AE}" pid="18" name="PM_Hash_Salt_Prev">
    <vt:lpwstr>F0EF935673604C81D64C428B354A708E</vt:lpwstr>
  </property>
  <property fmtid="{D5CDD505-2E9C-101B-9397-08002B2CF9AE}" pid="19" name="PM_Hash_Salt">
    <vt:lpwstr>F0EF935673604C81D64C428B354A708E</vt:lpwstr>
  </property>
  <property fmtid="{D5CDD505-2E9C-101B-9397-08002B2CF9AE}" pid="20" name="PM_PrintOutPlacement_XLS">
    <vt:lpwstr>RightFooter,RightHeader</vt:lpwstr>
  </property>
</Properties>
</file>